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Ex4.xml" ContentType="application/vnd.ms-office.chartex+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Ex5.xml" ContentType="application/vnd.ms-office.chartex+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DataScience\project data analyst\HR data\"/>
    </mc:Choice>
  </mc:AlternateContent>
  <xr:revisionPtr revIDLastSave="0" documentId="13_ncr:1_{090E8B6E-1D78-4CD6-ADAB-4B29B641B7A5}" xr6:coauthVersionLast="47" xr6:coauthVersionMax="47" xr10:uidLastSave="{00000000-0000-0000-0000-000000000000}"/>
  <bookViews>
    <workbookView xWindow="-108" yWindow="-108" windowWidth="23256" windowHeight="12576" tabRatio="775" activeTab="1" xr2:uid="{00000000-000D-0000-FFFF-FFFF00000000}"/>
  </bookViews>
  <sheets>
    <sheet name="KPI" sheetId="5" r:id="rId1"/>
    <sheet name="Dashboard" sheetId="6" r:id="rId2"/>
    <sheet name="Rating" sheetId="8" r:id="rId3"/>
    <sheet name="Gender" sheetId="9" r:id="rId4"/>
    <sheet name="Education by iterretion" sheetId="10" r:id="rId5"/>
    <sheet name="Attrition by job" sheetId="11" r:id="rId6"/>
    <sheet name="Dept wise Atirition" sheetId="12" r:id="rId7"/>
    <sheet name="Attrirtion by Age Group" sheetId="13" r:id="rId8"/>
    <sheet name="Maritial Status" sheetId="16" r:id="rId9"/>
    <sheet name="Data" sheetId="1" r:id="rId10"/>
  </sheets>
  <definedNames>
    <definedName name="_xlchart.v1.0" hidden="1">'Maritial Status'!$D$4:$D$6</definedName>
    <definedName name="_xlchart.v1.1" hidden="1">'Maritial Status'!$E$3</definedName>
    <definedName name="_xlchart.v1.10" hidden="1">'Maritial Status'!$E$3</definedName>
    <definedName name="_xlchart.v1.11" hidden="1">'Maritial Status'!$E$4:$E$6</definedName>
    <definedName name="_xlchart.v1.2" hidden="1">'Maritial Status'!$E$4:$E$6</definedName>
    <definedName name="_xlchart.v1.3" hidden="1">'Attrition by job'!$E$4:$E$12</definedName>
    <definedName name="_xlchart.v1.4" hidden="1">'Attrition by job'!$F$4:$F$12</definedName>
    <definedName name="_xlchart.v1.5" hidden="1">'Attrition by job'!$E$4:$E$12</definedName>
    <definedName name="_xlchart.v1.6" hidden="1">'Attrition by job'!$F$4:$F$12</definedName>
    <definedName name="_xlchart.v1.7" hidden="1">'Attrition by job'!$E$4:$E$12</definedName>
    <definedName name="_xlchart.v1.8" hidden="1">'Attrition by job'!$F$4:$F$12</definedName>
    <definedName name="_xlchart.v1.9" hidden="1">'Maritial Status'!$D$4:$D$6</definedName>
    <definedName name="Slicer_Department">#N/A</definedName>
    <definedName name="Slicer_Education_Field2">#N/A</definedName>
    <definedName name="Slicer_Gender">#N/A</definedName>
    <definedName name="Slicer_Gender1">#N/A</definedName>
    <definedName name="Slicer_Gender2">#N/A</definedName>
  </definedNames>
  <calcPr calcId="18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16" l="1"/>
  <c r="D6" i="16"/>
  <c r="D4" i="16"/>
  <c r="E5" i="11"/>
  <c r="E6" i="11"/>
  <c r="E7" i="11"/>
  <c r="E8" i="11"/>
  <c r="E9" i="11"/>
  <c r="E10" i="11"/>
  <c r="E11" i="11"/>
  <c r="E12" i="11"/>
  <c r="E4" i="11"/>
  <c r="F10" i="11"/>
  <c r="F9" i="11"/>
  <c r="F12" i="11"/>
  <c r="B9" i="9"/>
  <c r="B10" i="9"/>
  <c r="F6" i="11"/>
  <c r="E6" i="16"/>
  <c r="C8" i="5"/>
  <c r="E4" i="16"/>
  <c r="F8" i="11"/>
  <c r="F4" i="11"/>
  <c r="F7" i="11"/>
  <c r="E5" i="16"/>
  <c r="B8" i="5"/>
  <c r="A8" i="5"/>
  <c r="F11" i="11"/>
  <c r="F5" i="11"/>
  <c r="B6" i="8"/>
  <c r="E8" i="5" l="1"/>
  <c r="C9" i="9"/>
  <c r="C10" i="9"/>
  <c r="C6" i="8"/>
  <c r="B7" i="8"/>
  <c r="C7" i="8" s="1"/>
  <c r="D8" i="5"/>
</calcChain>
</file>

<file path=xl/sharedStrings.xml><?xml version="1.0" encoding="utf-8"?>
<sst xmlns="http://schemas.openxmlformats.org/spreadsheetml/2006/main" count="19215" uniqueCount="1570">
  <si>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</si>
  <si>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</si>
  <si>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</si>
  <si>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</si>
  <si>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</si>
  <si>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</si>
  <si>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</si>
  <si>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</si>
  <si>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</si>
  <si>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</si>
  <si>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</si>
  <si>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</si>
  <si>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</si>
  <si>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</si>
  <si>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</si>
  <si>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</si>
  <si>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</si>
  <si>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</si>
  <si>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</si>
  <si>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</si>
  <si>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</si>
  <si>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</si>
  <si>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</si>
  <si>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</si>
  <si>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</si>
  <si>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</si>
  <si>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</si>
  <si>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</si>
  <si>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</si>
  <si>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</si>
  <si>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</si>
  <si>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</si>
  <si>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</si>
  <si>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</si>
  <si>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</si>
  <si>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</si>
  <si>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</si>
  <si>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</si>
  <si>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</si>
  <si>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</si>
  <si>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</si>
  <si>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</si>
  <si>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</si>
  <si>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</si>
  <si>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</si>
  <si>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</si>
  <si>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</si>
  <si>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</si>
  <si>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</si>
  <si>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</si>
  <si>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</si>
  <si>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</si>
  <si>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</si>
  <si>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</si>
  <si>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</si>
  <si>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</si>
  <si>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</si>
  <si>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</si>
  <si>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</si>
  <si>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</si>
  <si>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</si>
  <si>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</si>
  <si>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</si>
  <si>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</si>
  <si>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</si>
  <si>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</si>
  <si>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</si>
  <si>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</si>
  <si>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</si>
  <si>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</si>
  <si>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</si>
  <si>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</si>
  <si>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</si>
  <si>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</si>
  <si>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</si>
  <si>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</si>
  <si>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</si>
  <si>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</si>
  <si>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</si>
  <si>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</si>
  <si>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</si>
  <si>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</si>
  <si>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</si>
  <si>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</si>
  <si>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</si>
  <si>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</si>
  <si>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</si>
  <si>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</si>
  <si>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</si>
  <si>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</si>
  <si>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</si>
  <si>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</si>
  <si>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</si>
  <si>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</si>
  <si>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</si>
  <si>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</si>
  <si>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</si>
  <si>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</si>
  <si>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</si>
  <si>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</si>
  <si>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</si>
  <si>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</si>
  <si>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</si>
  <si>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</si>
  <si>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</si>
  <si>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</si>
  <si>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</si>
  <si>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</si>
  <si>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</si>
  <si>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</si>
  <si>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</si>
  <si>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</si>
  <si>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</si>
  <si>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</si>
  <si>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</si>
  <si>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</si>
  <si>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</si>
  <si>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</si>
  <si>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</si>
  <si>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</si>
  <si>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</si>
  <si>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</si>
  <si>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</si>
  <si>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</si>
  <si>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</si>
  <si>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</si>
  <si>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</si>
  <si>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</si>
  <si>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</si>
  <si>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</si>
  <si>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</si>
  <si>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</si>
  <si>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</si>
  <si>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</si>
  <si>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</si>
  <si>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</si>
  <si>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</si>
  <si>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</si>
  <si>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</si>
  <si>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</si>
  <si>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</si>
  <si>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</si>
  <si>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</si>
  <si>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</si>
  <si>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</si>
  <si>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</si>
  <si>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</si>
  <si>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</si>
  <si>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</si>
  <si>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</si>
  <si>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</si>
  <si>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</si>
  <si>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</si>
  <si>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</si>
  <si>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</si>
  <si>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</si>
  <si>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</si>
  <si>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</si>
  <si>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</si>
  <si>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</si>
  <si>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</si>
  <si>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</si>
  <si>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</si>
  <si>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</si>
  <si>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</si>
  <si>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</si>
  <si>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</si>
  <si>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</si>
  <si>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</si>
  <si>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</si>
  <si>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</si>
  <si>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</si>
  <si>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</si>
  <si>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</si>
  <si>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</si>
  <si>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</si>
  <si>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</si>
  <si>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</si>
  <si>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</si>
  <si>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</si>
  <si>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</si>
  <si>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</si>
  <si>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</si>
  <si>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</si>
  <si>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</si>
  <si>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</si>
  <si>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</si>
  <si>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</si>
  <si>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</si>
  <si>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</si>
  <si>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</si>
  <si>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</si>
  <si>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</si>
  <si>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</si>
  <si>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</si>
  <si>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</si>
  <si>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</si>
  <si>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</si>
  <si>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</si>
  <si>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</si>
  <si>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</si>
  <si>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</si>
  <si>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</si>
  <si>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</si>
  <si>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</si>
  <si>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</si>
  <si>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</si>
  <si>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</si>
  <si>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</si>
  <si>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</si>
  <si>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</si>
  <si>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</si>
  <si>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</si>
  <si>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</si>
  <si>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</si>
  <si>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</si>
  <si>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</si>
  <si>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</si>
  <si>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</si>
  <si>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</si>
  <si>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</si>
  <si>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</si>
  <si>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</si>
  <si>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</si>
  <si>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</si>
  <si>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</si>
  <si>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</si>
  <si>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</si>
  <si>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</si>
  <si>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</si>
  <si>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</si>
  <si>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</si>
  <si>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</si>
  <si>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</si>
  <si>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</si>
  <si>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</si>
  <si>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</si>
  <si>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</si>
  <si>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</si>
  <si>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</si>
  <si>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</si>
  <si>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</si>
  <si>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</si>
  <si>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</si>
  <si>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</si>
  <si>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</si>
  <si>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</si>
  <si>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</si>
  <si>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</si>
  <si>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</si>
  <si>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</si>
  <si>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</si>
  <si>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</si>
  <si>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</si>
  <si>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</si>
  <si>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</si>
  <si>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</si>
  <si>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</si>
  <si>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</si>
  <si>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</si>
  <si>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</si>
  <si>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</si>
  <si>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</si>
  <si>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</si>
  <si>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</si>
  <si>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</si>
  <si>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</si>
  <si>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</si>
  <si>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</si>
  <si>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</si>
  <si>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</si>
  <si>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</si>
  <si>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</si>
  <si>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</si>
  <si>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</si>
  <si>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</si>
  <si>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</si>
  <si>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</si>
  <si>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</si>
  <si>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</si>
  <si>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</si>
  <si>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</si>
  <si>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</si>
  <si>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</si>
  <si>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</si>
  <si>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</si>
  <si>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</si>
  <si>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</si>
  <si>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</si>
  <si>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</si>
  <si>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</si>
  <si>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</si>
  <si>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</si>
  <si>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</si>
  <si>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</si>
  <si>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</si>
  <si>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</si>
  <si>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</si>
  <si>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</si>
  <si>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</si>
  <si>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</si>
  <si>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</si>
  <si>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</si>
  <si>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</si>
  <si>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</si>
  <si>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</si>
  <si>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</si>
  <si>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</si>
  <si>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</si>
  <si>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</si>
  <si>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</si>
  <si>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</si>
  <si>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</si>
  <si>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</si>
  <si>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</si>
  <si>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</si>
  <si>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</si>
  <si>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</si>
  <si>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</si>
  <si>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</si>
  <si>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</si>
  <si>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</si>
  <si>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</si>
  <si>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</si>
  <si>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</si>
  <si>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</si>
  <si>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</si>
  <si>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</si>
  <si>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</si>
  <si>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</si>
  <si>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</si>
  <si>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</si>
  <si>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</si>
  <si>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</si>
  <si>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</si>
  <si>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</si>
  <si>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</si>
  <si>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</si>
  <si>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</si>
  <si>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</si>
  <si>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</si>
  <si>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</si>
  <si>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</si>
  <si>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</si>
  <si>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</si>
  <si>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</si>
  <si>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</si>
  <si>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</si>
  <si>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</si>
  <si>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</si>
  <si>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</si>
  <si>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</si>
  <si>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</si>
  <si>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</si>
  <si>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</si>
  <si>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</si>
  <si>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</si>
  <si>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</si>
  <si>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</si>
  <si>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</si>
  <si>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</si>
  <si>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</si>
  <si>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</si>
  <si>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</si>
  <si>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</si>
  <si>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</si>
  <si>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</si>
  <si>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</si>
  <si>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</si>
  <si>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</si>
  <si>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</si>
  <si>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</si>
  <si>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</si>
  <si>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</si>
  <si>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</si>
  <si>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</si>
  <si>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</si>
  <si>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</si>
  <si>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</si>
  <si>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</si>
  <si>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</si>
  <si>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</si>
  <si>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</si>
  <si>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</si>
  <si>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</si>
  <si>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</si>
  <si>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</si>
  <si>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</si>
  <si>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</si>
  <si>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</si>
  <si>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</si>
  <si>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</si>
  <si>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</si>
  <si>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</si>
  <si>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</si>
  <si>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</si>
  <si>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</si>
  <si>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</si>
  <si>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</si>
  <si>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</si>
  <si>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</si>
  <si>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</si>
  <si>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</si>
  <si>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</si>
  <si>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</si>
  <si>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</si>
  <si>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</si>
  <si>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</si>
  <si>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</si>
  <si>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</si>
  <si>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</si>
  <si>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</si>
  <si>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</si>
  <si>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</si>
  <si>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</si>
  <si>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</si>
  <si>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</si>
  <si>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</si>
  <si>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</si>
  <si>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</si>
  <si>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</si>
  <si>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</si>
  <si>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</si>
  <si>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</si>
  <si>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</si>
  <si>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</si>
  <si>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</si>
  <si>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</si>
  <si>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</si>
  <si>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</si>
  <si>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</si>
  <si>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</si>
  <si>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</si>
  <si>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</si>
  <si>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</si>
  <si>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</si>
  <si>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</si>
  <si>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</si>
  <si>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</si>
  <si>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</si>
  <si>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</si>
  <si>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</si>
  <si>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</si>
  <si>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</si>
  <si>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</si>
  <si>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</si>
  <si>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</si>
  <si>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</si>
  <si>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</si>
  <si>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</si>
  <si>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</si>
  <si>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</si>
  <si>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</si>
  <si>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</si>
  <si>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</si>
  <si>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</si>
  <si>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</si>
  <si>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</si>
  <si>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</si>
  <si>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</si>
  <si>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</si>
  <si>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</si>
  <si>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</si>
  <si>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</si>
  <si>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</si>
  <si>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</si>
  <si>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</si>
  <si>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</si>
  <si>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</si>
  <si>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</si>
  <si>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</si>
  <si>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</si>
  <si>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</si>
  <si>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</si>
  <si>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</si>
  <si>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</si>
  <si>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</si>
  <si>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</si>
  <si>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</si>
  <si>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</si>
  <si>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</si>
  <si>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</si>
  <si>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</si>
  <si>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</si>
  <si>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</si>
  <si>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</si>
  <si>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</si>
  <si>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</si>
  <si>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</si>
  <si>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</si>
  <si>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</si>
  <si>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</si>
  <si>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</si>
  <si>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</si>
  <si>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</si>
  <si>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</si>
  <si>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</si>
  <si>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</si>
  <si>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</si>
  <si>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</si>
  <si>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</si>
  <si>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</si>
  <si>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</si>
  <si>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</si>
  <si>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</si>
  <si>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</si>
  <si>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</si>
  <si>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</si>
  <si>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</si>
  <si>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</si>
  <si>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</si>
  <si>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</si>
  <si>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</si>
  <si>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</si>
  <si>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</si>
  <si>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</si>
  <si>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</si>
  <si>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</si>
  <si>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</si>
  <si>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</si>
  <si>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</si>
  <si>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</si>
  <si>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</si>
  <si>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</si>
  <si>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</si>
  <si>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</si>
  <si>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</si>
  <si>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</si>
  <si>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</si>
  <si>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</si>
  <si>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</si>
  <si>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</si>
  <si>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</si>
  <si>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</si>
  <si>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</si>
  <si>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</si>
  <si>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</si>
  <si>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</si>
  <si>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</si>
  <si>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</si>
  <si>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</si>
  <si>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</si>
  <si>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</si>
  <si>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</si>
  <si>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</si>
  <si>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</si>
  <si>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</si>
  <si>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</si>
  <si>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</si>
  <si>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</si>
  <si>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</si>
  <si>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</si>
  <si>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</si>
  <si>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</si>
  <si>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</si>
  <si>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</si>
  <si>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</si>
  <si>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</si>
  <si>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</si>
  <si>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</si>
  <si>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</si>
  <si>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</si>
  <si>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</si>
  <si>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</si>
  <si>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</si>
  <si>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</si>
  <si>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</si>
  <si>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</si>
  <si>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</si>
  <si>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</si>
  <si>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</si>
  <si>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</si>
  <si>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</si>
  <si>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</si>
  <si>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</si>
  <si>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</si>
  <si>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</si>
  <si>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</si>
  <si>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</si>
  <si>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</si>
  <si>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</si>
  <si>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</si>
  <si>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</si>
  <si>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</si>
  <si>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</si>
  <si>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</si>
  <si>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</si>
  <si>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</si>
  <si>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</si>
  <si>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</si>
  <si>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</si>
  <si>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</si>
  <si>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</si>
  <si>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</si>
  <si>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</si>
  <si>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</si>
  <si>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</si>
  <si>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</si>
  <si>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</si>
  <si>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</si>
  <si>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</si>
  <si>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</si>
  <si>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</si>
  <si>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</si>
  <si>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</si>
  <si>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</si>
  <si>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</si>
  <si>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</si>
  <si>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</si>
  <si>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</si>
  <si>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</si>
  <si>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</si>
  <si>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</si>
  <si>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</si>
  <si>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</si>
  <si>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</si>
  <si>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</si>
  <si>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</si>
  <si>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</si>
  <si>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</si>
  <si>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</si>
  <si>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</si>
  <si>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</si>
  <si>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</si>
  <si>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</si>
  <si>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</si>
  <si>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</si>
  <si>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</si>
  <si>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</si>
  <si>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</si>
  <si>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</si>
  <si>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</si>
  <si>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</si>
  <si>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</si>
  <si>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</si>
  <si>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</si>
  <si>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</si>
  <si>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</si>
  <si>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</si>
  <si>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</si>
  <si>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</si>
  <si>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</si>
  <si>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</si>
  <si>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</si>
  <si>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</si>
  <si>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</si>
  <si>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</si>
  <si>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</si>
  <si>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</si>
  <si>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</si>
  <si>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</si>
  <si>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</si>
  <si>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</si>
  <si>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</si>
  <si>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</si>
  <si>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</si>
  <si>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</si>
  <si>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</si>
  <si>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</si>
  <si>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</si>
  <si>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</si>
  <si>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</si>
  <si>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</si>
  <si>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</si>
  <si>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</si>
  <si>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</si>
  <si>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</si>
  <si>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</si>
  <si>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</si>
  <si>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</si>
  <si>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</si>
  <si>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</si>
  <si>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</si>
  <si>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</si>
  <si>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</si>
  <si>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</si>
  <si>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</si>
  <si>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</si>
  <si>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</si>
  <si>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</si>
  <si>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</si>
  <si>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</si>
  <si>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</si>
  <si>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</si>
  <si>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</si>
  <si>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</si>
  <si>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</si>
  <si>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</si>
  <si>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</si>
  <si>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</si>
  <si>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</si>
  <si>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</si>
  <si>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</si>
  <si>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</si>
  <si>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</si>
  <si>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</si>
  <si>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</si>
  <si>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</si>
  <si>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</si>
  <si>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</si>
  <si>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</si>
  <si>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</si>
  <si>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</si>
  <si>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</si>
  <si>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</si>
  <si>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</si>
  <si>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</si>
  <si>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</si>
  <si>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</si>
  <si>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</si>
  <si>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</si>
  <si>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</si>
  <si>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</si>
  <si>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</si>
  <si>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</si>
  <si>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</si>
  <si>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</si>
  <si>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</si>
  <si>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</si>
  <si>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</si>
  <si>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</si>
  <si>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</si>
  <si>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</si>
  <si>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</si>
  <si>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</si>
  <si>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</si>
  <si>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</si>
  <si>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</si>
  <si>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</si>
  <si>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</si>
  <si>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</si>
  <si>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</si>
  <si>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</si>
  <si>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</si>
  <si>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</si>
  <si>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</si>
  <si>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</si>
  <si>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</si>
  <si>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</si>
  <si>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</si>
  <si>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</si>
  <si>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</si>
  <si>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</si>
  <si>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</si>
  <si>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</si>
  <si>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</si>
  <si>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</si>
  <si>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</si>
  <si>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</si>
  <si>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</si>
  <si>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</si>
  <si>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</si>
  <si>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</si>
  <si>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</si>
  <si>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</si>
  <si>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</si>
  <si>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</si>
  <si>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</si>
  <si>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</si>
  <si>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</si>
  <si>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</si>
  <si>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</si>
  <si>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</si>
  <si>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</si>
  <si>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</si>
  <si>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</si>
  <si>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</si>
  <si>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</si>
  <si>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</si>
  <si>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</si>
  <si>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</si>
  <si>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</si>
  <si>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</si>
  <si>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</si>
  <si>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</si>
  <si>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</si>
  <si>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</si>
  <si>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</si>
  <si>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</si>
  <si>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</si>
  <si>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</si>
  <si>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</si>
  <si>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</si>
  <si>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</si>
  <si>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</si>
  <si>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</si>
  <si>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</si>
  <si>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</si>
  <si>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</si>
  <si>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</si>
  <si>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</si>
  <si>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</si>
  <si>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</si>
  <si>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</si>
  <si>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</si>
  <si>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</si>
  <si>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</si>
  <si>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</si>
  <si>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</si>
  <si>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</si>
  <si>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</si>
  <si>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</si>
  <si>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</si>
  <si>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</si>
  <si>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</si>
  <si>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</si>
  <si>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</si>
  <si>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</si>
  <si>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</si>
  <si>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</si>
  <si>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</si>
  <si>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</si>
  <si>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</si>
  <si>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</si>
  <si>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</si>
  <si>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</si>
  <si>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</si>
  <si>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</si>
  <si>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</si>
  <si>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</si>
  <si>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</si>
  <si>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</si>
  <si>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</si>
  <si>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</si>
  <si>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</si>
  <si>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</si>
  <si>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</si>
  <si>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</si>
  <si>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</si>
  <si>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</si>
  <si>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</si>
  <si>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</si>
  <si>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</si>
  <si>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</si>
  <si>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</si>
  <si>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</si>
  <si>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</si>
  <si>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</si>
  <si>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</si>
  <si>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</si>
  <si>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</si>
  <si>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</si>
  <si>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</si>
  <si>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</si>
  <si>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</si>
  <si>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</si>
  <si>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</si>
  <si>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</si>
  <si>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</si>
  <si>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</si>
  <si>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</si>
  <si>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</si>
  <si>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</si>
  <si>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</si>
  <si>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</si>
  <si>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</si>
  <si>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</si>
  <si>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</si>
  <si>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</si>
  <si>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</si>
  <si>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</si>
  <si>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</si>
  <si>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</si>
  <si>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</si>
  <si>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</si>
  <si>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</si>
  <si>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</si>
  <si>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</si>
  <si>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</si>
  <si>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</si>
  <si>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</si>
  <si>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</si>
  <si>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</si>
  <si>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</si>
  <si>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</si>
  <si>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</si>
  <si>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</si>
  <si>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</si>
  <si>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</si>
  <si>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</si>
  <si>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</si>
  <si>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</si>
  <si>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</si>
  <si>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</si>
  <si>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</si>
  <si>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</si>
  <si>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</si>
  <si>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</si>
  <si>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</si>
  <si>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</si>
  <si>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</si>
  <si>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</si>
  <si>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</si>
  <si>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</si>
  <si>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</si>
  <si>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</si>
  <si>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</si>
  <si>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</si>
  <si>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</si>
  <si>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</si>
  <si>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</si>
  <si>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</si>
  <si>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</si>
  <si>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</si>
  <si>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</si>
  <si>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</si>
  <si>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</si>
  <si>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</si>
  <si>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</si>
  <si>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</si>
  <si>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</si>
  <si>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</si>
  <si>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</si>
  <si>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</si>
  <si>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</si>
  <si>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</si>
  <si>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</si>
  <si>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</si>
  <si>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</si>
  <si>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</si>
  <si>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</si>
  <si>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</si>
  <si>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</si>
  <si>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</si>
  <si>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</si>
  <si>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</si>
  <si>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</si>
  <si>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</si>
  <si>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</si>
  <si>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</si>
  <si>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</si>
  <si>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</si>
  <si>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</si>
  <si>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</si>
  <si>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</si>
  <si>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</si>
  <si>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</si>
  <si>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</si>
  <si>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</si>
  <si>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</si>
  <si>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</si>
  <si>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</si>
  <si>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</si>
  <si>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</si>
  <si>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</si>
  <si>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</si>
  <si>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</si>
  <si>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</si>
  <si>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</si>
  <si>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</si>
  <si>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</si>
  <si>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</si>
  <si>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</si>
  <si>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</si>
  <si>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</si>
  <si>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</si>
  <si>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</si>
  <si>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</si>
  <si>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</si>
  <si>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</si>
  <si>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</si>
  <si>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</si>
  <si>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</si>
  <si>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</si>
  <si>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</si>
  <si>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</si>
  <si>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</si>
  <si>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</si>
  <si>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</si>
  <si>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</si>
  <si>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</si>
  <si>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</si>
  <si>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</si>
  <si>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</si>
  <si>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</si>
  <si>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</si>
  <si>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</si>
  <si>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</si>
  <si>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</si>
  <si>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</si>
  <si>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</si>
  <si>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</si>
  <si>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</si>
  <si>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</si>
  <si>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</si>
  <si>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</si>
  <si>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</si>
  <si>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</si>
  <si>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</si>
  <si>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</si>
  <si>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</si>
  <si>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</si>
  <si>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</si>
  <si>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</si>
  <si>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</si>
  <si>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</si>
  <si>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</si>
  <si>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</si>
  <si>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</si>
  <si>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</si>
  <si>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</si>
  <si>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</si>
  <si>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</si>
  <si>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</si>
  <si>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</si>
  <si>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</si>
  <si>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</si>
  <si>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</si>
  <si>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</si>
  <si>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</si>
  <si>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</si>
  <si>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</si>
  <si>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</si>
  <si>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</si>
  <si>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</si>
  <si>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</si>
  <si>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</si>
  <si>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</si>
  <si>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</si>
  <si>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</si>
  <si>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</si>
  <si>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</si>
  <si>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</si>
  <si>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</si>
  <si>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</si>
  <si>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</si>
  <si>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</si>
  <si>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</si>
  <si>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</si>
  <si>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</si>
  <si>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</si>
  <si>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</si>
  <si>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</si>
  <si>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</si>
  <si>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</si>
  <si>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</si>
  <si>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</si>
  <si>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</si>
  <si>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</si>
  <si>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</si>
  <si>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</si>
  <si>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</si>
  <si>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</si>
  <si>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</si>
  <si>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</si>
  <si>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</si>
  <si>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</si>
  <si>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</si>
  <si>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</si>
  <si>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</si>
  <si>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</si>
  <si>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</si>
  <si>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</si>
  <si>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</si>
  <si>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</si>
  <si>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</si>
  <si>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</si>
  <si>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</si>
  <si>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</si>
  <si>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</si>
  <si>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</si>
  <si>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</si>
  <si>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</si>
  <si>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</si>
  <si>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</si>
  <si>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</si>
  <si>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</si>
  <si>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</si>
  <si>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</si>
  <si>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</si>
  <si>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</si>
  <si>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</si>
  <si>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</si>
  <si>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</si>
  <si>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</si>
  <si>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</si>
  <si>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</si>
  <si>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</si>
  <si>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</si>
  <si>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</si>
  <si>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</si>
  <si>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</si>
  <si>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</si>
  <si>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</si>
  <si>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</si>
  <si>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</si>
  <si>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</si>
  <si>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</si>
  <si>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</si>
  <si>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</si>
  <si>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</si>
  <si>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</si>
  <si>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</si>
  <si>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</si>
  <si>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</si>
  <si>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</si>
  <si>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</si>
  <si>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</si>
  <si>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</si>
  <si>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</si>
  <si>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</si>
  <si>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</si>
  <si>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</si>
  <si>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</si>
  <si>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</si>
  <si>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</si>
  <si>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</si>
  <si>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</si>
  <si>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</si>
  <si>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</si>
  <si>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</si>
  <si>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</si>
  <si>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</si>
  <si>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</si>
  <si>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</si>
  <si>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</si>
  <si>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</si>
  <si>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</si>
  <si>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</si>
  <si>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</si>
  <si>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</si>
  <si>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</si>
  <si>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</si>
  <si>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</si>
  <si>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</si>
  <si>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</si>
  <si>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</si>
  <si>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</si>
  <si>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</si>
  <si>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</si>
  <si>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</si>
  <si>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</si>
  <si>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</si>
  <si>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</si>
  <si>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</si>
  <si>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</si>
  <si>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</si>
  <si>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</si>
  <si>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</si>
  <si>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</si>
  <si>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</si>
  <si>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</si>
  <si>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</si>
  <si>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</si>
  <si>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</si>
  <si>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</si>
  <si>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</si>
  <si>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</si>
  <si>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</si>
  <si>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</si>
  <si>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</si>
  <si>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</si>
  <si>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</si>
  <si>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</si>
  <si>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</si>
  <si>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</si>
  <si>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</si>
  <si>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</si>
  <si>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</si>
  <si>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</si>
  <si>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</si>
  <si>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</si>
  <si>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</si>
  <si>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</si>
  <si>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</si>
  <si>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</si>
  <si>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</si>
  <si>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</si>
  <si>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</si>
  <si>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</si>
  <si>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</si>
  <si>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</si>
  <si>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</si>
  <si>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</si>
  <si>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</si>
  <si>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</si>
  <si>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</si>
  <si>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</si>
  <si>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</si>
  <si>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</si>
  <si>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</si>
  <si>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</si>
  <si>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</si>
  <si>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</si>
  <si>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</si>
  <si>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</si>
  <si>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</si>
  <si>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</si>
  <si>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</si>
  <si>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</si>
  <si>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</si>
  <si>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</si>
  <si>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</si>
  <si>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</si>
  <si>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</si>
  <si>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</si>
  <si>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</si>
  <si>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</si>
  <si>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</si>
  <si>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</si>
  <si>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</si>
  <si>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</si>
  <si>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</si>
  <si>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</si>
  <si>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</si>
  <si>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</si>
  <si>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</si>
  <si>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</si>
  <si>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</si>
  <si>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</si>
  <si>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</si>
  <si>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</si>
  <si>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</si>
  <si>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</si>
  <si>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</si>
  <si>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</si>
  <si>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</si>
  <si>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</si>
  <si>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</si>
  <si>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</si>
  <si>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</si>
  <si>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</si>
  <si>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</si>
  <si>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</si>
  <si>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</si>
  <si>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</si>
  <si>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</si>
  <si>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</si>
  <si>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</si>
  <si>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</si>
  <si>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</si>
  <si>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</si>
  <si>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</si>
  <si>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</si>
  <si>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</si>
  <si>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</si>
  <si>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</si>
  <si>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</si>
  <si>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</si>
  <si>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</si>
  <si>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</si>
  <si>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</si>
  <si>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</si>
  <si>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</si>
  <si>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</si>
  <si>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</si>
  <si>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</si>
  <si>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</si>
  <si>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</si>
  <si>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</si>
  <si>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</si>
  <si>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</si>
  <si>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</si>
  <si>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</si>
  <si>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</si>
  <si>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</si>
  <si>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</si>
  <si>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</si>
  <si>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</si>
  <si>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</si>
  <si>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</si>
  <si>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</si>
  <si>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</si>
  <si>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</si>
  <si>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</si>
  <si>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</si>
  <si>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</si>
  <si>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</si>
  <si>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</si>
  <si>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</si>
  <si>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</si>
  <si>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</si>
  <si>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</si>
  <si>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</si>
  <si>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</si>
  <si>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</si>
  <si>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</si>
  <si>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</si>
  <si>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</si>
  <si>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</si>
  <si>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</si>
  <si>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</si>
  <si>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</si>
  <si>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</si>
  <si>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</si>
  <si>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</si>
  <si>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</si>
  <si>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</si>
  <si>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</si>
  <si>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</si>
  <si>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</si>
  <si>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</si>
  <si>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</si>
  <si>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</si>
  <si>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</si>
  <si>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</si>
  <si>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</si>
  <si>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</si>
  <si>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</si>
  <si>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</si>
  <si>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</si>
  <si>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</si>
  <si>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</si>
  <si>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</si>
  <si>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</si>
  <si>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</si>
  <si>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</si>
  <si>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</si>
  <si>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</si>
  <si>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</si>
  <si>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</si>
  <si>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</si>
  <si>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</si>
  <si>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</si>
  <si>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</si>
  <si>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</si>
  <si>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</si>
  <si>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</si>
  <si>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</si>
  <si>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</si>
  <si>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</si>
  <si>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</si>
  <si>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</si>
  <si>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</si>
  <si>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</si>
  <si>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</si>
  <si>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</si>
  <si>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</si>
  <si>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</si>
  <si>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</si>
  <si>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</si>
  <si>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</si>
  <si>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</si>
  <si>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</si>
  <si>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</si>
  <si>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</si>
  <si>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</si>
  <si>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</si>
  <si>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</si>
  <si>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</si>
  <si>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</si>
  <si>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</si>
  <si>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</si>
  <si>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</si>
  <si>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</si>
  <si>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</si>
  <si>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</si>
  <si>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</si>
  <si>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</si>
  <si>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</si>
  <si>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</si>
  <si>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</si>
  <si>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</si>
  <si>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</si>
  <si>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</si>
  <si>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</si>
  <si>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</si>
  <si>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</si>
  <si>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</si>
  <si>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</si>
  <si>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</si>
  <si>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</si>
  <si>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</si>
  <si>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</si>
  <si>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</si>
  <si>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</si>
  <si>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</si>
  <si>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</si>
  <si>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</si>
  <si>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</si>
  <si>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</si>
  <si>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</si>
  <si>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</si>
  <si>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</si>
  <si>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</si>
  <si>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</si>
  <si>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</si>
  <si>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</si>
  <si>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</si>
  <si>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</si>
  <si>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</si>
  <si>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</si>
  <si>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</si>
  <si>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</si>
  <si>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</si>
  <si>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</si>
  <si>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</si>
  <si>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</si>
  <si>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</si>
  <si>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</si>
  <si>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</si>
  <si>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</si>
  <si>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</si>
  <si>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</si>
  <si>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</si>
  <si>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</si>
  <si>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</si>
  <si>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</si>
  <si>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</si>
  <si>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</si>
  <si>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</si>
  <si>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</si>
  <si>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</si>
  <si>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</si>
  <si>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</si>
  <si>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</si>
  <si>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</si>
  <si>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</si>
  <si>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</si>
  <si>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</si>
  <si>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</si>
  <si>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</si>
  <si>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</si>
  <si>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</si>
  <si>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</si>
  <si>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</si>
  <si>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</si>
  <si>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</si>
  <si>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</si>
  <si>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</si>
  <si>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</si>
  <si>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</si>
  <si>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</si>
  <si>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</si>
  <si>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</si>
  <si>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</si>
  <si>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</si>
  <si>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</si>
  <si>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</si>
  <si>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</si>
  <si>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</si>
  <si>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</si>
  <si>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</si>
  <si>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</si>
  <si>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</si>
  <si>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</si>
  <si>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</si>
  <si>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</si>
  <si>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</si>
  <si>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</si>
  <si>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</si>
  <si>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</si>
  <si>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</si>
  <si>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</si>
  <si>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</si>
  <si>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</si>
  <si>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</si>
  <si>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</si>
  <si>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</si>
  <si>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</si>
  <si>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</si>
  <si>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</si>
  <si>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</si>
  <si>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</si>
  <si>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</si>
  <si>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</si>
  <si>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</si>
  <si>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</si>
  <si>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</si>
  <si>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</si>
  <si>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</si>
  <si>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</si>
  <si>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</si>
  <si>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</si>
  <si>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</si>
  <si>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</si>
  <si>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</si>
  <si>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</si>
  <si>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</si>
  <si>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</si>
  <si>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</si>
  <si>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</si>
  <si>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</si>
  <si>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</si>
  <si>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</si>
  <si>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</si>
  <si>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</si>
  <si>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</si>
  <si>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</si>
  <si>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</si>
  <si>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</si>
  <si>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</si>
  <si>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</si>
  <si>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</si>
  <si>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</si>
  <si>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</si>
  <si>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</si>
  <si>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</si>
  <si>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</si>
  <si>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</si>
  <si>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</si>
  <si>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</si>
  <si>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</si>
  <si>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</si>
  <si>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</si>
  <si>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</si>
  <si>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</si>
  <si>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</si>
  <si>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</si>
  <si>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</si>
  <si>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</si>
  <si>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</si>
  <si>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</si>
  <si>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</si>
  <si>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</si>
  <si>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</si>
  <si>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</si>
  <si>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</si>
  <si>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</si>
  <si>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</si>
  <si>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</si>
  <si>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</si>
  <si>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</si>
  <si>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</si>
  <si>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</si>
  <si>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</si>
  <si>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</si>
  <si>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</si>
  <si>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</si>
  <si>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</si>
  <si>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</si>
  <si>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</si>
  <si>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</si>
  <si>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</si>
  <si>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</si>
  <si>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</si>
  <si>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</si>
  <si>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</si>
  <si>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</si>
  <si>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</si>
  <si>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</si>
  <si>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</si>
  <si>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</si>
  <si>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</si>
  <si>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</si>
  <si>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</si>
  <si>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</si>
  <si>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</si>
  <si>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</si>
  <si>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</si>
  <si>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</si>
  <si>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</si>
  <si>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</si>
  <si>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</si>
  <si>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</si>
  <si>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</si>
  <si>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</si>
  <si>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</si>
  <si>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</si>
  <si>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</si>
  <si>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</si>
  <si>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</si>
  <si>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</si>
  <si>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</si>
  <si>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</si>
  <si>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</si>
  <si>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</si>
  <si>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t>
  </si>
  <si>
    <t>Average of Age</t>
  </si>
  <si>
    <t>Total Employee</t>
  </si>
  <si>
    <t xml:space="preserve">Attrition Count </t>
  </si>
  <si>
    <t xml:space="preserve">Averge Age </t>
  </si>
  <si>
    <t xml:space="preserve">Active Employees </t>
  </si>
  <si>
    <t xml:space="preserve">Atrrition Rate </t>
  </si>
  <si>
    <t>Average of Job Satisfaction</t>
  </si>
  <si>
    <t>Rating</t>
  </si>
  <si>
    <t>Balance Rating</t>
  </si>
  <si>
    <t>Count of Employee Count</t>
  </si>
  <si>
    <t xml:space="preserve">Job Role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</si>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</sst>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
    <numFmt numFmtId="165"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1" applyNumberFormat="1" applyFont="1"/>
    <xf numFmtId="164" fontId="0" fillId="0" borderId="0" xfId="0" applyNumberFormat="1"/>
    <xf numFmtId="165" fontId="0" fillId="0" borderId="0" xfId="0" applyNumberFormat="1"/>
    <xf numFmtId="1" fontId="0" fillId="0" borderId="0" xfId="0" applyNumberFormat="1"/>
    <xf numFmtId="0" fontId="0" fillId="2" borderId="0" xfId="0" applyFill="1"/>
    <xf numFmtId="9" fontId="0" fillId="0" borderId="0" xfId="1" applyFont="1"/>
    <xf numFmtId="10" fontId="0" fillId="0" borderId="0" xfId="0" applyNumberFormat="1"/>
  </cellXfs>
  <cellStyles count="2">
    <cellStyle name="Normal" xfId="0" builtinId="0"/>
    <cellStyle name="Percent" xfId="1" builtinId="5"/>
  </cellStyles>
  <dxfs count="2">
    <dxf>
      <numFmt numFmtId="165" formatCode="0.0"/>
    </dxf>
    <dxf>
      <fill>
        <patternFill>
          <bgColor theme="0"/>
        </patternFill>
      </fill>
    </dxf>
  </dxfs>
  <tableStyles count="1" defaultTableStyle="TableStyleMedium2" defaultPivotStyle="PivotStyleLight16">
    <tableStyle name="Slicer Style 1" pivot="0" table="0" count="4" xr9:uid="{9CFEF979-4E84-499A-8306-64063A102088}">
      <tableStyleElement type="wholeTable" dxfId="1"/>
    </tableStyle>
  </tableStyles>
  <colors>
    <mruColors>
      <color rgb="FF3C1017"/>
      <color rgb="FFE78DD8"/>
      <color rgb="FF602928"/>
    </mruColors>
  </colors>
  <extLst>
    <ext xmlns:x14="http://schemas.microsoft.com/office/spreadsheetml/2009/9/main" uri="{46F421CA-312F-682f-3DD2-61675219B42D}">
      <x14:dxfs count="3">
        <dxf>
          <fill>
            <gradientFill>
              <stop position="0">
                <color theme="1" tint="0.25098422193060094"/>
              </stop>
              <stop position="1">
                <color theme="1"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stop>
              <stop position="1">
                <color theme="1" tint="0.34900967436750391"/>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
                      <a:lumOff val="95000"/>
                    </a:schemeClr>
                  </a:gs>
                  <a:gs pos="100000">
                    <a:schemeClr val="accent3">
                      <a:lumMod val="75000"/>
                    </a:schemeClr>
                  </a:gs>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FAB4-4DED-B1C2-951AFC4431E1}"/>
              </c:ext>
            </c:extLst>
          </c:dPt>
          <c:dPt>
            <c:idx val="1"/>
            <c:bubble3D val="0"/>
            <c:spPr>
              <a:solidFill>
                <a:schemeClr val="bg1">
                  <a:alpha val="95000"/>
                </a:schemeClr>
              </a:solidFill>
              <a:ln w="19050">
                <a:noFill/>
              </a:ln>
              <a:effectLst/>
            </c:spPr>
            <c:extLst>
              <c:ext xmlns:c16="http://schemas.microsoft.com/office/drawing/2014/chart" uri="{C3380CC4-5D6E-409C-BE32-E72D297353CC}">
                <c16:uniqueId val="{00000003-FAB4-4DED-B1C2-951AFC4431E1}"/>
              </c:ext>
            </c:extLst>
          </c:dPt>
          <c:val>
            <c:numRef>
              <c:f>Rating!$C$6:$C$7</c:f>
              <c:numCache>
                <c:formatCode>0.000000</c:formatCode>
                <c:ptCount val="2"/>
                <c:pt idx="0">
                  <c:v>0.65663265306122454</c:v>
                </c:pt>
                <c:pt idx="1">
                  <c:v>0.34336734693877546</c:v>
                </c:pt>
              </c:numCache>
            </c:numRef>
          </c:val>
          <c:extLst>
            <c:ext xmlns:c16="http://schemas.microsoft.com/office/drawing/2014/chart" uri="{C3380CC4-5D6E-409C-BE32-E72D297353CC}">
              <c16:uniqueId val="{00000004-FAB4-4DED-B1C2-951AFC4431E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444444444444446E-2"/>
          <c:y val="0.10299625468164794"/>
          <c:w val="0.93888888888888888"/>
          <c:h val="0.79400749063670417"/>
        </c:manualLayout>
      </c:layout>
      <c:barChart>
        <c:barDir val="bar"/>
        <c:grouping val="stacked"/>
        <c:varyColors val="0"/>
        <c:ser>
          <c:idx val="0"/>
          <c:order val="0"/>
          <c:spPr>
            <a:solidFill>
              <a:schemeClr val="accent3">
                <a:lumMod val="75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195-4526-8157-AB235FCBBFDF}"/>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B195-4526-8157-AB235FCBBFDF}"/>
            </c:ext>
          </c:extLst>
        </c:ser>
        <c:dLbls>
          <c:showLegendKey val="0"/>
          <c:showVal val="0"/>
          <c:showCatName val="0"/>
          <c:showSerName val="0"/>
          <c:showPercent val="0"/>
          <c:showBubbleSize val="0"/>
        </c:dLbls>
        <c:gapWidth val="0"/>
        <c:overlap val="100"/>
        <c:axId val="1127241744"/>
        <c:axId val="1127243408"/>
      </c:barChart>
      <c:catAx>
        <c:axId val="1127241744"/>
        <c:scaling>
          <c:orientation val="minMax"/>
        </c:scaling>
        <c:delete val="1"/>
        <c:axPos val="l"/>
        <c:majorTickMark val="out"/>
        <c:minorTickMark val="none"/>
        <c:tickLblPos val="nextTo"/>
        <c:crossAx val="1127243408"/>
        <c:crosses val="autoZero"/>
        <c:auto val="1"/>
        <c:lblAlgn val="ctr"/>
        <c:lblOffset val="100"/>
        <c:noMultiLvlLbl val="0"/>
      </c:catAx>
      <c:valAx>
        <c:axId val="1127243408"/>
        <c:scaling>
          <c:orientation val="minMax"/>
          <c:max val="4"/>
          <c:min val="0"/>
        </c:scaling>
        <c:delete val="1"/>
        <c:axPos val="b"/>
        <c:numFmt formatCode="0.0" sourceLinked="1"/>
        <c:majorTickMark val="out"/>
        <c:minorTickMark val="none"/>
        <c:tickLblPos val="nextTo"/>
        <c:crossAx val="1127241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9.7013888888888886E-2"/>
          <c:w val="0.8059722222222222"/>
          <c:h val="0.8059722222222222"/>
        </c:manualLayout>
      </c:layout>
      <c:doughnutChart>
        <c:varyColors val="1"/>
        <c:ser>
          <c:idx val="0"/>
          <c:order val="0"/>
          <c:spPr>
            <a:ln>
              <a:noFill/>
            </a:ln>
          </c:spPr>
          <c:dPt>
            <c:idx val="0"/>
            <c:bubble3D val="0"/>
            <c:spPr>
              <a:gradFill>
                <a:gsLst>
                  <a:gs pos="0">
                    <a:srgbClr val="3C1017"/>
                  </a:gs>
                  <a:gs pos="74000">
                    <a:schemeClr val="accent1">
                      <a:lumMod val="45000"/>
                      <a:lumOff val="55000"/>
                    </a:schemeClr>
                  </a:gs>
                  <a:gs pos="83000">
                    <a:schemeClr val="accent1">
                      <a:lumMod val="45000"/>
                      <a:lumOff val="55000"/>
                    </a:schemeClr>
                  </a:gs>
                  <a:gs pos="100000">
                    <a:srgbClr val="E78DD8"/>
                  </a:gs>
                </a:gsLst>
                <a:lin ang="10800000" scaled="0"/>
              </a:gradFill>
              <a:ln w="19050">
                <a:noFill/>
              </a:ln>
              <a:effectLst/>
            </c:spPr>
            <c:extLst>
              <c:ext xmlns:c16="http://schemas.microsoft.com/office/drawing/2014/chart" uri="{C3380CC4-5D6E-409C-BE32-E72D297353CC}">
                <c16:uniqueId val="{00000001-C9F2-4300-883A-842FE8EC1C4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C9F2-4300-883A-842FE8EC1C4B}"/>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4-C9F2-4300-883A-842FE8EC1C4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9.7013888888888886E-2"/>
          <c:w val="0.8059722222222222"/>
          <c:h val="0.8059722222222222"/>
        </c:manualLayout>
      </c:layout>
      <c:doughnutChart>
        <c:varyColors val="1"/>
        <c:ser>
          <c:idx val="0"/>
          <c:order val="0"/>
          <c:spPr>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8081-49C0-9349-5D03A354D11C}"/>
              </c:ext>
            </c:extLst>
          </c:dPt>
          <c:dPt>
            <c:idx val="1"/>
            <c:bubble3D val="0"/>
            <c:spPr>
              <a:gradFill>
                <a:gsLst>
                  <a:gs pos="0">
                    <a:schemeClr val="accent1">
                      <a:lumMod val="50000"/>
                    </a:schemeClr>
                  </a:gs>
                  <a:gs pos="74000">
                    <a:schemeClr val="accent1">
                      <a:lumMod val="45000"/>
                      <a:lumOff val="55000"/>
                    </a:schemeClr>
                  </a:gs>
                  <a:gs pos="83000">
                    <a:schemeClr val="accent1">
                      <a:lumMod val="45000"/>
                      <a:lumOff val="55000"/>
                    </a:schemeClr>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8081-49C0-9349-5D03A354D11C}"/>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4-8081-49C0-9349-5D03A354D11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Anayst.XLSX]Education by iterretion!Education by iterretion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2060"/>
              </a:gs>
              <a:gs pos="74000">
                <a:schemeClr val="accent1">
                  <a:lumMod val="45000"/>
                  <a:lumOff val="55000"/>
                </a:schemeClr>
              </a:gs>
              <a:gs pos="83000">
                <a:schemeClr val="accent1">
                  <a:lumMod val="45000"/>
                  <a:lumOff val="55000"/>
                </a:schemeClr>
              </a:gs>
              <a:gs pos="100000">
                <a:srgbClr val="002060"/>
              </a:gs>
            </a:gsLst>
            <a:lin ang="10800000" scaled="0"/>
          </a:gra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02060"/>
              </a:gs>
              <a:gs pos="74000">
                <a:schemeClr val="accent1">
                  <a:lumMod val="45000"/>
                  <a:lumOff val="55000"/>
                </a:schemeClr>
              </a:gs>
              <a:gs pos="83000">
                <a:schemeClr val="accent1">
                  <a:lumMod val="45000"/>
                  <a:lumOff val="55000"/>
                </a:schemeClr>
              </a:gs>
              <a:gs pos="100000">
                <a:srgbClr val="002060"/>
              </a:gs>
            </a:gsLst>
            <a:lin ang="10800000" scaled="0"/>
          </a:gradFill>
          <a:ln>
            <a:solidFill>
              <a:srgbClr val="C00000"/>
            </a:solidFill>
          </a:ln>
          <a:effectLst/>
        </c:spPr>
      </c:pivotFmt>
      <c:pivotFmt>
        <c:idx val="4"/>
        <c:spPr>
          <a:gradFill>
            <a:gsLst>
              <a:gs pos="0">
                <a:srgbClr val="002060"/>
              </a:gs>
              <a:gs pos="74000">
                <a:schemeClr val="accent1">
                  <a:lumMod val="45000"/>
                  <a:lumOff val="55000"/>
                </a:schemeClr>
              </a:gs>
              <a:gs pos="83000">
                <a:schemeClr val="accent1">
                  <a:lumMod val="45000"/>
                  <a:lumOff val="55000"/>
                </a:schemeClr>
              </a:gs>
              <a:gs pos="100000">
                <a:srgbClr val="002060"/>
              </a:gs>
            </a:gsLst>
            <a:lin ang="10800000" scaled="0"/>
          </a:gradFill>
          <a:ln>
            <a:solidFill>
              <a:srgbClr val="C00000"/>
            </a:solidFill>
          </a:ln>
          <a:effectLst/>
        </c:spPr>
      </c:pivotFmt>
      <c:pivotFmt>
        <c:idx val="5"/>
        <c:spPr>
          <a:gradFill>
            <a:gsLst>
              <a:gs pos="0">
                <a:srgbClr val="002060"/>
              </a:gs>
              <a:gs pos="74000">
                <a:schemeClr val="accent1">
                  <a:lumMod val="45000"/>
                  <a:lumOff val="55000"/>
                </a:schemeClr>
              </a:gs>
              <a:gs pos="83000">
                <a:schemeClr val="accent1">
                  <a:lumMod val="45000"/>
                  <a:lumOff val="55000"/>
                </a:schemeClr>
              </a:gs>
              <a:gs pos="100000">
                <a:srgbClr val="002060"/>
              </a:gs>
            </a:gsLst>
            <a:lin ang="10800000" scaled="0"/>
          </a:gradFill>
          <a:ln>
            <a:solidFill>
              <a:srgbClr val="C00000"/>
            </a:solidFill>
          </a:ln>
          <a:effectLst/>
        </c:spPr>
      </c:pivotFmt>
      <c:pivotFmt>
        <c:idx val="6"/>
        <c:spPr>
          <a:gradFill>
            <a:gsLst>
              <a:gs pos="0">
                <a:srgbClr val="002060"/>
              </a:gs>
              <a:gs pos="74000">
                <a:schemeClr val="accent1">
                  <a:lumMod val="45000"/>
                  <a:lumOff val="55000"/>
                </a:schemeClr>
              </a:gs>
              <a:gs pos="83000">
                <a:schemeClr val="accent1">
                  <a:lumMod val="45000"/>
                  <a:lumOff val="55000"/>
                </a:schemeClr>
              </a:gs>
              <a:gs pos="100000">
                <a:srgbClr val="002060"/>
              </a:gs>
            </a:gsLst>
            <a:lin ang="10800000" scaled="0"/>
          </a:gradFill>
          <a:ln>
            <a:solidFill>
              <a:srgbClr val="C00000"/>
            </a:solidFill>
          </a:ln>
          <a:effectLst/>
        </c:spPr>
      </c:pivotFmt>
    </c:pivotFmts>
    <c:plotArea>
      <c:layout>
        <c:manualLayout>
          <c:layoutTarget val="inner"/>
          <c:xMode val="edge"/>
          <c:yMode val="edge"/>
          <c:x val="0.23173447069116354"/>
          <c:y val="0.10185185185185185"/>
          <c:w val="0.74326552930883638"/>
          <c:h val="0.89814814814814814"/>
        </c:manualLayout>
      </c:layout>
      <c:barChart>
        <c:barDir val="bar"/>
        <c:grouping val="clustered"/>
        <c:varyColors val="0"/>
        <c:ser>
          <c:idx val="0"/>
          <c:order val="0"/>
          <c:tx>
            <c:strRef>
              <c:f>'Education by iterretion'!$B$3</c:f>
              <c:strCache>
                <c:ptCount val="1"/>
                <c:pt idx="0">
                  <c:v>Total</c:v>
                </c:pt>
              </c:strCache>
            </c:strRef>
          </c:tx>
          <c:spPr>
            <a:gradFill>
              <a:gsLst>
                <a:gs pos="0">
                  <a:srgbClr val="002060"/>
                </a:gs>
                <a:gs pos="74000">
                  <a:schemeClr val="accent1">
                    <a:lumMod val="45000"/>
                    <a:lumOff val="55000"/>
                  </a:schemeClr>
                </a:gs>
                <a:gs pos="83000">
                  <a:schemeClr val="accent1">
                    <a:lumMod val="45000"/>
                    <a:lumOff val="55000"/>
                  </a:schemeClr>
                </a:gs>
                <a:gs pos="100000">
                  <a:srgbClr val="002060"/>
                </a:gs>
              </a:gsLst>
              <a:lin ang="10800000" scaled="0"/>
            </a:gradFill>
            <a:ln>
              <a:solidFill>
                <a:srgbClr val="C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iterretion'!$A$4:$A$9</c:f>
              <c:strCache>
                <c:ptCount val="5"/>
                <c:pt idx="0">
                  <c:v>Doctoral Degree</c:v>
                </c:pt>
                <c:pt idx="1">
                  <c:v>High School</c:v>
                </c:pt>
                <c:pt idx="2">
                  <c:v>Associates Degree</c:v>
                </c:pt>
                <c:pt idx="3">
                  <c:v>Master's Degree</c:v>
                </c:pt>
                <c:pt idx="4">
                  <c:v>Bachelor's Degree</c:v>
                </c:pt>
              </c:strCache>
            </c:strRef>
          </c:cat>
          <c:val>
            <c:numRef>
              <c:f>'Education by iterretion'!$B$4:$B$9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86F-472D-BF55-1BA3A844E693}"/>
            </c:ext>
          </c:extLst>
        </c:ser>
        <c:dLbls>
          <c:dLblPos val="outEnd"/>
          <c:showLegendKey val="0"/>
          <c:showVal val="1"/>
          <c:showCatName val="0"/>
          <c:showSerName val="0"/>
          <c:showPercent val="0"/>
          <c:showBubbleSize val="0"/>
        </c:dLbls>
        <c:gapWidth val="75"/>
        <c:axId val="301887727"/>
        <c:axId val="301888143"/>
      </c:barChart>
      <c:catAx>
        <c:axId val="301887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AS"/>
          </a:p>
        </c:txPr>
        <c:crossAx val="301888143"/>
        <c:crosses val="autoZero"/>
        <c:auto val="1"/>
        <c:lblAlgn val="ctr"/>
        <c:lblOffset val="100"/>
        <c:noMultiLvlLbl val="0"/>
      </c:catAx>
      <c:valAx>
        <c:axId val="301888143"/>
        <c:scaling>
          <c:orientation val="minMax"/>
        </c:scaling>
        <c:delete val="1"/>
        <c:axPos val="b"/>
        <c:numFmt formatCode="General" sourceLinked="1"/>
        <c:majorTickMark val="out"/>
        <c:minorTickMark val="none"/>
        <c:tickLblPos val="nextTo"/>
        <c:crossAx val="30188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Anayst.XLSX]Dept wise Atirition!Dept wise Atirition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20000">
                <a:srgbClr val="A5C2E0"/>
              </a:gs>
              <a:gs pos="36000">
                <a:schemeClr val="accent4">
                  <a:lumMod val="75000"/>
                </a:schemeClr>
              </a:gs>
              <a:gs pos="86000">
                <a:srgbClr val="002060"/>
              </a:gs>
            </a:gsLst>
            <a:lin ang="10800000" scaled="0"/>
          </a:gradFill>
          <a:ln w="19050">
            <a:solidFill>
              <a:schemeClr val="lt1"/>
            </a:solidFill>
          </a:ln>
          <a:effectLst/>
        </c:spPr>
      </c:pivotFmt>
      <c:pivotFmt>
        <c:idx val="7"/>
        <c:spPr>
          <a:gradFill>
            <a:gsLst>
              <a:gs pos="11000">
                <a:schemeClr val="tx1">
                  <a:lumMod val="75000"/>
                  <a:lumOff val="25000"/>
                </a:schemeClr>
              </a:gs>
              <a:gs pos="100000">
                <a:srgbClr val="C00000"/>
              </a:gs>
              <a:gs pos="65000">
                <a:srgbClr val="002060"/>
              </a:gs>
            </a:gsLst>
            <a:lin ang="10800000" scaled="0"/>
          </a:gradFill>
          <a:ln w="19050">
            <a:solidFill>
              <a:schemeClr val="lt1"/>
            </a:solidFill>
          </a:ln>
          <a:effectLst/>
        </c:spPr>
      </c:pivotFmt>
      <c:pivotFmt>
        <c:idx val="8"/>
        <c:spPr>
          <a:gradFill>
            <a:gsLst>
              <a:gs pos="14000">
                <a:schemeClr val="accent1">
                  <a:lumMod val="45000"/>
                  <a:lumOff val="55000"/>
                </a:schemeClr>
              </a:gs>
              <a:gs pos="4000">
                <a:schemeClr val="accent1">
                  <a:lumMod val="45000"/>
                  <a:lumOff val="55000"/>
                </a:schemeClr>
              </a:gs>
              <a:gs pos="100000">
                <a:srgbClr val="002060"/>
              </a:gs>
            </a:gsLst>
            <a:lin ang="10800000" scaled="0"/>
          </a:gradFill>
          <a:ln w="19050">
            <a:solidFill>
              <a:schemeClr val="lt1"/>
            </a:solidFill>
          </a:ln>
          <a:effectLst/>
        </c:spPr>
      </c:pivotFmt>
    </c:pivotFmts>
    <c:plotArea>
      <c:layout/>
      <c:pieChart>
        <c:varyColors val="1"/>
        <c:ser>
          <c:idx val="0"/>
          <c:order val="0"/>
          <c:tx>
            <c:strRef>
              <c:f>'Dept wise Atirition'!$B$3</c:f>
              <c:strCache>
                <c:ptCount val="1"/>
                <c:pt idx="0">
                  <c:v>Total</c:v>
                </c:pt>
              </c:strCache>
            </c:strRef>
          </c:tx>
          <c:spPr>
            <a:solidFill>
              <a:schemeClr val="bg1">
                <a:lumMod val="50000"/>
              </a:schemeClr>
            </a:solidFill>
          </c:spPr>
          <c:dPt>
            <c:idx val="0"/>
            <c:bubble3D val="0"/>
            <c:spPr>
              <a:gradFill>
                <a:gsLst>
                  <a:gs pos="20000">
                    <a:srgbClr val="A5C2E0"/>
                  </a:gs>
                  <a:gs pos="36000">
                    <a:schemeClr val="accent4">
                      <a:lumMod val="75000"/>
                    </a:schemeClr>
                  </a:gs>
                  <a:gs pos="86000">
                    <a:srgbClr val="002060"/>
                  </a:gs>
                </a:gsLst>
                <a:lin ang="10800000" scaled="0"/>
              </a:gradFill>
              <a:ln w="19050">
                <a:solidFill>
                  <a:schemeClr val="lt1"/>
                </a:solidFill>
              </a:ln>
              <a:effectLst/>
            </c:spPr>
            <c:extLst>
              <c:ext xmlns:c16="http://schemas.microsoft.com/office/drawing/2014/chart" uri="{C3380CC4-5D6E-409C-BE32-E72D297353CC}">
                <c16:uniqueId val="{00000001-45CA-42C2-9C06-B253D7302278}"/>
              </c:ext>
            </c:extLst>
          </c:dPt>
          <c:dPt>
            <c:idx val="1"/>
            <c:bubble3D val="0"/>
            <c:spPr>
              <a:gradFill>
                <a:gsLst>
                  <a:gs pos="11000">
                    <a:schemeClr val="tx1">
                      <a:lumMod val="75000"/>
                      <a:lumOff val="25000"/>
                    </a:schemeClr>
                  </a:gs>
                  <a:gs pos="100000">
                    <a:srgbClr val="C00000"/>
                  </a:gs>
                  <a:gs pos="65000">
                    <a:srgbClr val="002060"/>
                  </a:gs>
                </a:gsLst>
                <a:lin ang="10800000" scaled="0"/>
              </a:gradFill>
              <a:ln w="19050">
                <a:solidFill>
                  <a:schemeClr val="lt1"/>
                </a:solidFill>
              </a:ln>
              <a:effectLst/>
            </c:spPr>
            <c:extLst>
              <c:ext xmlns:c16="http://schemas.microsoft.com/office/drawing/2014/chart" uri="{C3380CC4-5D6E-409C-BE32-E72D297353CC}">
                <c16:uniqueId val="{00000003-45CA-42C2-9C06-B253D7302278}"/>
              </c:ext>
            </c:extLst>
          </c:dPt>
          <c:dPt>
            <c:idx val="2"/>
            <c:bubble3D val="0"/>
            <c:spPr>
              <a:gradFill>
                <a:gsLst>
                  <a:gs pos="14000">
                    <a:schemeClr val="accent1">
                      <a:lumMod val="45000"/>
                      <a:lumOff val="55000"/>
                    </a:schemeClr>
                  </a:gs>
                  <a:gs pos="4000">
                    <a:schemeClr val="accent1">
                      <a:lumMod val="45000"/>
                      <a:lumOff val="55000"/>
                    </a:schemeClr>
                  </a:gs>
                  <a:gs pos="100000">
                    <a:srgbClr val="002060"/>
                  </a:gs>
                </a:gsLst>
                <a:lin ang="10800000" scaled="0"/>
              </a:gradFill>
              <a:ln w="19050">
                <a:solidFill>
                  <a:schemeClr val="lt1"/>
                </a:solidFill>
              </a:ln>
              <a:effectLst/>
            </c:spPr>
            <c:extLst>
              <c:ext xmlns:c16="http://schemas.microsoft.com/office/drawing/2014/chart" uri="{C3380CC4-5D6E-409C-BE32-E72D297353CC}">
                <c16:uniqueId val="{00000005-45CA-42C2-9C06-B253D7302278}"/>
              </c:ext>
            </c:extLst>
          </c:dPt>
          <c:cat>
            <c:strRef>
              <c:f>'Dept wise Atirition'!$A$4:$A$7</c:f>
              <c:strCache>
                <c:ptCount val="3"/>
                <c:pt idx="0">
                  <c:v>HR</c:v>
                </c:pt>
                <c:pt idx="1">
                  <c:v>R&amp;D</c:v>
                </c:pt>
                <c:pt idx="2">
                  <c:v>Sales</c:v>
                </c:pt>
              </c:strCache>
            </c:strRef>
          </c:cat>
          <c:val>
            <c:numRef>
              <c:f>'Dept wise Atirition'!$B$4:$B$7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5CA-42C2-9C06-B253D73022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A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Anayst.XLSX]Attrirtion by Age Group!Attrirtion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
                <a:srgbClr val="00B0F0"/>
              </a:gs>
              <a:gs pos="82000">
                <a:srgbClr val="C00000"/>
              </a:gs>
              <a:gs pos="65000">
                <a:srgbClr val="002060"/>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'Attrirtion by Age Group'!$B$3</c:f>
              <c:strCache>
                <c:ptCount val="1"/>
                <c:pt idx="0">
                  <c:v>Total</c:v>
                </c:pt>
              </c:strCache>
            </c:strRef>
          </c:tx>
          <c:spPr>
            <a:gradFill>
              <a:gsLst>
                <a:gs pos="1000">
                  <a:srgbClr val="00B0F0"/>
                </a:gs>
                <a:gs pos="82000">
                  <a:srgbClr val="C00000"/>
                </a:gs>
                <a:gs pos="65000">
                  <a:srgbClr val="002060"/>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'Attrirtion by Age Group'!$A$4:$A$9</c:f>
              <c:strCache>
                <c:ptCount val="5"/>
                <c:pt idx="0">
                  <c:v>25 - 34</c:v>
                </c:pt>
                <c:pt idx="1">
                  <c:v>35 - 44</c:v>
                </c:pt>
                <c:pt idx="2">
                  <c:v>Under 25</c:v>
                </c:pt>
                <c:pt idx="3">
                  <c:v>45 - 54</c:v>
                </c:pt>
                <c:pt idx="4">
                  <c:v>Over 55</c:v>
                </c:pt>
              </c:strCache>
            </c:strRef>
          </c:cat>
          <c:val>
            <c:numRef>
              <c:f>'Attrirtion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630-4634-8FEA-280DB599980A}"/>
            </c:ext>
          </c:extLst>
        </c:ser>
        <c:dLbls>
          <c:dLblPos val="outEnd"/>
          <c:showLegendKey val="0"/>
          <c:showVal val="1"/>
          <c:showCatName val="0"/>
          <c:showSerName val="0"/>
          <c:showPercent val="0"/>
          <c:showBubbleSize val="0"/>
        </c:dLbls>
        <c:gapWidth val="107"/>
        <c:overlap val="-27"/>
        <c:axId val="283704559"/>
        <c:axId val="283703727"/>
      </c:barChart>
      <c:catAx>
        <c:axId val="28370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AS"/>
          </a:p>
        </c:txPr>
        <c:crossAx val="283703727"/>
        <c:crosses val="autoZero"/>
        <c:auto val="1"/>
        <c:lblAlgn val="ctr"/>
        <c:lblOffset val="100"/>
        <c:noMultiLvlLbl val="0"/>
      </c:catAx>
      <c:valAx>
        <c:axId val="283703727"/>
        <c:scaling>
          <c:orientation val="minMax"/>
        </c:scaling>
        <c:delete val="1"/>
        <c:axPos val="l"/>
        <c:numFmt formatCode="General" sourceLinked="1"/>
        <c:majorTickMark val="none"/>
        <c:minorTickMark val="none"/>
        <c:tickLblPos val="nextTo"/>
        <c:crossAx val="28370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5B-4F19-AD7B-6D58E8EF73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5B-4F19-AD7B-6D58E8EF73BC}"/>
              </c:ext>
            </c:extLst>
          </c:dPt>
          <c:val>
            <c:numRef>
              <c:f>Rating!$C$6:$C$7</c:f>
              <c:numCache>
                <c:formatCode>0.000000</c:formatCode>
                <c:ptCount val="2"/>
                <c:pt idx="0">
                  <c:v>0.65663265306122454</c:v>
                </c:pt>
                <c:pt idx="1">
                  <c:v>0.34336734693877546</c:v>
                </c:pt>
              </c:numCache>
            </c:numRef>
          </c:val>
          <c:extLst>
            <c:ext xmlns:c16="http://schemas.microsoft.com/office/drawing/2014/chart" uri="{C3380CC4-5D6E-409C-BE32-E72D297353CC}">
              <c16:uniqueId val="{00000000-FDC3-40C3-8243-FEC8FD7FD89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444444444444446E-2"/>
          <c:y val="0.10299625468164794"/>
          <c:w val="0.93888888888888888"/>
          <c:h val="0.79400749063670417"/>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A735-416E-99AB-46B3DDDE34B6}"/>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A735-416E-99AB-46B3DDDE34B6}"/>
            </c:ext>
          </c:extLst>
        </c:ser>
        <c:dLbls>
          <c:showLegendKey val="0"/>
          <c:showVal val="0"/>
          <c:showCatName val="0"/>
          <c:showSerName val="0"/>
          <c:showPercent val="0"/>
          <c:showBubbleSize val="0"/>
        </c:dLbls>
        <c:gapWidth val="0"/>
        <c:overlap val="100"/>
        <c:axId val="1127241744"/>
        <c:axId val="1127243408"/>
      </c:barChart>
      <c:catAx>
        <c:axId val="1127241744"/>
        <c:scaling>
          <c:orientation val="minMax"/>
        </c:scaling>
        <c:delete val="1"/>
        <c:axPos val="l"/>
        <c:majorTickMark val="out"/>
        <c:minorTickMark val="none"/>
        <c:tickLblPos val="nextTo"/>
        <c:crossAx val="1127243408"/>
        <c:crosses val="autoZero"/>
        <c:auto val="1"/>
        <c:lblAlgn val="ctr"/>
        <c:lblOffset val="100"/>
        <c:noMultiLvlLbl val="0"/>
      </c:catAx>
      <c:valAx>
        <c:axId val="1127243408"/>
        <c:scaling>
          <c:orientation val="minMax"/>
          <c:max val="4"/>
          <c:min val="0"/>
        </c:scaling>
        <c:delete val="1"/>
        <c:axPos val="b"/>
        <c:numFmt formatCode="0.0" sourceLinked="1"/>
        <c:majorTickMark val="out"/>
        <c:minorTickMark val="none"/>
        <c:tickLblPos val="nextTo"/>
        <c:crossAx val="1127241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A6-46CA-A06A-C7ECAAC854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A6-46CA-A06A-C7ECAAC85418}"/>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0-08CD-47BE-B0E0-CD74EED90F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Anayst.XLSX]Education by iterretion!Education by iterretion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73447069116354"/>
          <c:y val="0.10185185185185185"/>
          <c:w val="0.74326552930883638"/>
          <c:h val="0.89814814814814814"/>
        </c:manualLayout>
      </c:layout>
      <c:barChart>
        <c:barDir val="bar"/>
        <c:grouping val="clustered"/>
        <c:varyColors val="0"/>
        <c:ser>
          <c:idx val="0"/>
          <c:order val="0"/>
          <c:tx>
            <c:strRef>
              <c:f>'Education by iterretion'!$B$3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iterretion'!$A$4:$A$9</c:f>
              <c:strCache>
                <c:ptCount val="5"/>
                <c:pt idx="0">
                  <c:v>Doctoral Degree</c:v>
                </c:pt>
                <c:pt idx="1">
                  <c:v>High School</c:v>
                </c:pt>
                <c:pt idx="2">
                  <c:v>Associates Degree</c:v>
                </c:pt>
                <c:pt idx="3">
                  <c:v>Master's Degree</c:v>
                </c:pt>
                <c:pt idx="4">
                  <c:v>Bachelor's Degree</c:v>
                </c:pt>
              </c:strCache>
            </c:strRef>
          </c:cat>
          <c:val>
            <c:numRef>
              <c:f>'Education by iterretion'!$B$4:$B$9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2B5-4395-B580-DF88A739D9F0}"/>
            </c:ext>
          </c:extLst>
        </c:ser>
        <c:dLbls>
          <c:dLblPos val="outEnd"/>
          <c:showLegendKey val="0"/>
          <c:showVal val="1"/>
          <c:showCatName val="0"/>
          <c:showSerName val="0"/>
          <c:showPercent val="0"/>
          <c:showBubbleSize val="0"/>
        </c:dLbls>
        <c:gapWidth val="182"/>
        <c:axId val="301887727"/>
        <c:axId val="301888143"/>
      </c:barChart>
      <c:catAx>
        <c:axId val="301887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301888143"/>
        <c:crosses val="autoZero"/>
        <c:auto val="1"/>
        <c:lblAlgn val="ctr"/>
        <c:lblOffset val="100"/>
        <c:noMultiLvlLbl val="0"/>
      </c:catAx>
      <c:valAx>
        <c:axId val="301888143"/>
        <c:scaling>
          <c:orientation val="minMax"/>
        </c:scaling>
        <c:delete val="1"/>
        <c:axPos val="b"/>
        <c:numFmt formatCode="General" sourceLinked="1"/>
        <c:majorTickMark val="out"/>
        <c:minorTickMark val="none"/>
        <c:tickLblPos val="nextTo"/>
        <c:crossAx val="30188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Anayst.XLSX]Dept wise Atirition!Dept wise Atirition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Atirition'!$B$3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63-4280-9304-9F177719D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63-4280-9304-9F177719D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63-4280-9304-9F177719DF7F}"/>
              </c:ext>
            </c:extLst>
          </c:dPt>
          <c:cat>
            <c:strRef>
              <c:f>'Dept wise Atirition'!$A$4:$A$7</c:f>
              <c:strCache>
                <c:ptCount val="3"/>
                <c:pt idx="0">
                  <c:v>HR</c:v>
                </c:pt>
                <c:pt idx="1">
                  <c:v>R&amp;D</c:v>
                </c:pt>
                <c:pt idx="2">
                  <c:v>Sales</c:v>
                </c:pt>
              </c:strCache>
            </c:strRef>
          </c:cat>
          <c:val>
            <c:numRef>
              <c:f>'Dept wise Atirition'!$B$4:$B$7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5768-4B90-AA10-2BF7E9B210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Anayst.XLSX]Attrirtion by Age Group!Attrirtion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'Attrirtion by Age Group'!$B$3</c:f>
              <c:strCache>
                <c:ptCount val="1"/>
                <c:pt idx="0">
                  <c:v>Total</c:v>
                </c:pt>
              </c:strCache>
            </c:strRef>
          </c:tx>
          <c:spPr>
            <a:solidFill>
              <a:schemeClr val="accent1"/>
            </a:solidFill>
            <a:ln>
              <a:noFill/>
            </a:ln>
            <a:effectLst/>
          </c:spPr>
          <c:invertIfNegative val="0"/>
          <c:cat>
            <c:strRef>
              <c:f>'Attrirtion by Age Group'!$A$4:$A$9</c:f>
              <c:strCache>
                <c:ptCount val="5"/>
                <c:pt idx="0">
                  <c:v>25 - 34</c:v>
                </c:pt>
                <c:pt idx="1">
                  <c:v>35 - 44</c:v>
                </c:pt>
                <c:pt idx="2">
                  <c:v>Under 25</c:v>
                </c:pt>
                <c:pt idx="3">
                  <c:v>45 - 54</c:v>
                </c:pt>
                <c:pt idx="4">
                  <c:v>Over 55</c:v>
                </c:pt>
              </c:strCache>
            </c:strRef>
          </c:cat>
          <c:val>
            <c:numRef>
              <c:f>'Attrirtion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A17-4C70-ADEE-F2DF16C3D1D2}"/>
            </c:ext>
          </c:extLst>
        </c:ser>
        <c:dLbls>
          <c:showLegendKey val="0"/>
          <c:showVal val="0"/>
          <c:showCatName val="0"/>
          <c:showSerName val="0"/>
          <c:showPercent val="0"/>
          <c:showBubbleSize val="0"/>
        </c:dLbls>
        <c:gapWidth val="219"/>
        <c:overlap val="-27"/>
        <c:axId val="283704559"/>
        <c:axId val="283703727"/>
      </c:barChart>
      <c:catAx>
        <c:axId val="28370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283703727"/>
        <c:crosses val="autoZero"/>
        <c:auto val="1"/>
        <c:lblAlgn val="ctr"/>
        <c:lblOffset val="100"/>
        <c:noMultiLvlLbl val="0"/>
      </c:catAx>
      <c:valAx>
        <c:axId val="283703727"/>
        <c:scaling>
          <c:orientation val="minMax"/>
        </c:scaling>
        <c:delete val="1"/>
        <c:axPos val="l"/>
        <c:numFmt formatCode="General" sourceLinked="1"/>
        <c:majorTickMark val="none"/>
        <c:minorTickMark val="none"/>
        <c:tickLblPos val="nextTo"/>
        <c:crossAx val="28370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60C6A4C5-8F14-4542-82D1-6B7AE459E722}">
          <cx:tx>
            <cx:txData>
              <cx:f>_xlchart.v1.1</cx:f>
              <cx:v>Attrition</cx:v>
            </cx:txData>
          </cx:tx>
          <cx:spPr>
            <a:gradFill>
              <a:gsLst>
                <a:gs pos="64610">
                  <a:srgbClr val="02205F"/>
                </a:gs>
                <a:gs pos="3000">
                  <a:srgbClr val="00B0F0"/>
                </a:gs>
                <a:gs pos="32000">
                  <a:schemeClr val="accent6">
                    <a:lumMod val="75000"/>
                  </a:schemeClr>
                </a:gs>
                <a:gs pos="90000">
                  <a:srgbClr val="002060"/>
                </a:gs>
              </a:gsLst>
              <a:lin ang="10800000" scaled="0"/>
            </a:gradFill>
          </cx:spPr>
          <cx:dataLabels pos="outEnd">
            <cx:txPr>
              <a:bodyPr spcFirstLastPara="1" vertOverflow="ellipsis" horzOverflow="overflow" wrap="square" lIns="0" tIns="0" rIns="0" bIns="0" anchor="ctr" anchorCtr="1"/>
              <a:lstStyle/>
              <a:p>
                <a:pPr algn="ctr" rtl="0">
                  <a:defRPr sz="1050" b="1">
                    <a:solidFill>
                      <a:schemeClr val="bg2">
                        <a:lumMod val="25000"/>
                      </a:schemeClr>
                    </a:solidFill>
                  </a:defRPr>
                </a:pPr>
                <a:endParaRPr lang="en-US" sz="1050" b="1" i="0" u="none" strike="noStrike" baseline="0">
                  <a:solidFill>
                    <a:schemeClr val="bg2">
                      <a:lumMod val="25000"/>
                    </a:schemeClr>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100">
                <a:solidFill>
                  <a:srgbClr val="C00000"/>
                </a:solidFill>
              </a:defRPr>
            </a:pPr>
            <a:endParaRPr lang="en-US" sz="1100" b="0" i="0" u="none" strike="noStrike" baseline="0">
              <a:solidFill>
                <a:srgbClr val="C00000"/>
              </a:solidFill>
              <a:latin typeface="Calibri" panose="020F0502020204030204"/>
            </a:endParaRPr>
          </a:p>
        </cx:txPr>
      </cx:axis>
      <cx:axis id="1" hidden="1">
        <cx:valScaling/>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E1B06D27-B9D7-4029-957C-6110CBD1606C}">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_xlchart.v1.8</cx:f>
      </cx:numDim>
    </cx:data>
  </cx:chartData>
  <cx:chart>
    <cx:plotArea>
      <cx:plotAreaRegion>
        <cx:series layoutId="treemap" uniqueId="{E1B06D27-B9D7-4029-957C-6110CBD1606C}">
          <cx:dataLabels pos="inEnd">
            <cx:visibility seriesName="0" categoryName="1" value="0"/>
          </cx:dataLabels>
          <cx:dataId val="0"/>
          <cx:layoutPr>
            <cx:parentLabelLayout val="overlapping"/>
          </cx:layoutPr>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plotArea>
      <cx:plotAreaRegion>
        <cx:series layoutId="waterfall" uniqueId="{60C6A4C5-8F14-4542-82D1-6B7AE459E722}">
          <cx:tx>
            <cx:txData>
              <cx:f>_xlchart.v1.10</cx:f>
              <cx:v>Attrition</cx:v>
            </cx:txData>
          </cx:tx>
          <cx:dataLabels pos="outEnd">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18" Type="http://schemas.microsoft.com/office/2014/relationships/chartEx" Target="../charts/chartEx3.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8.png"/><Relationship Id="rId17" Type="http://schemas.microsoft.com/office/2014/relationships/chartEx" Target="../charts/chartEx2.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4.xml"/><Relationship Id="rId19"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chart" Target="../charts/chart3.xml"/><Relationship Id="rId14"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9.png"/><Relationship Id="rId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editAs="oneCell">
    <xdr:from>
      <xdr:col>7</xdr:col>
      <xdr:colOff>7620</xdr:colOff>
      <xdr:row>2</xdr:row>
      <xdr:rowOff>60961</xdr:rowOff>
    </xdr:from>
    <xdr:to>
      <xdr:col>10</xdr:col>
      <xdr:colOff>7620</xdr:colOff>
      <xdr:row>7</xdr:row>
      <xdr:rowOff>60961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0825660-986C-4F18-811A-1379E91CD0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83780" y="426721"/>
              <a:ext cx="1828800" cy="91440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313706</xdr:colOff>
      <xdr:row>7</xdr:row>
      <xdr:rowOff>35625</xdr:rowOff>
    </xdr:from>
    <xdr:to>
      <xdr:col>26</xdr:col>
      <xdr:colOff>531935</xdr:colOff>
      <xdr:row>47</xdr:row>
      <xdr:rowOff>129320</xdr:rowOff>
    </xdr:to>
    <xdr:grpSp>
      <xdr:nvGrpSpPr>
        <xdr:cNvPr id="77" name="Group 76">
          <a:extLst>
            <a:ext uri="{FF2B5EF4-FFF2-40B4-BE49-F238E27FC236}">
              <a16:creationId xmlns:a16="http://schemas.microsoft.com/office/drawing/2014/main" id="{72273FC7-FD12-4A3D-A24D-8509217E3036}"/>
            </a:ext>
          </a:extLst>
        </xdr:cNvPr>
        <xdr:cNvGrpSpPr/>
      </xdr:nvGrpSpPr>
      <xdr:grpSpPr>
        <a:xfrm>
          <a:off x="2752106" y="1296389"/>
          <a:ext cx="13629429" cy="7298058"/>
          <a:chOff x="1752600" y="190500"/>
          <a:chExt cx="13468350" cy="7776000"/>
        </a:xfrm>
      </xdr:grpSpPr>
      <xdr:sp macro="" textlink="">
        <xdr:nvSpPr>
          <xdr:cNvPr id="78" name="Rectangle: Rounded Corners 77">
            <a:extLst>
              <a:ext uri="{FF2B5EF4-FFF2-40B4-BE49-F238E27FC236}">
                <a16:creationId xmlns:a16="http://schemas.microsoft.com/office/drawing/2014/main" id="{BFCD69C3-76AE-443D-BE24-333F91608792}"/>
              </a:ext>
            </a:extLst>
          </xdr:cNvPr>
          <xdr:cNvSpPr/>
        </xdr:nvSpPr>
        <xdr:spPr>
          <a:xfrm>
            <a:off x="1752600" y="190500"/>
            <a:ext cx="13468350" cy="7776000"/>
          </a:xfrm>
          <a:prstGeom prst="roundRect">
            <a:avLst>
              <a:gd name="adj" fmla="val 1112"/>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solidFill>
                  <a:srgbClr val="0070C0"/>
                </a:solidFill>
              </a:rPr>
              <a:t>`</a:t>
            </a:r>
          </a:p>
        </xdr:txBody>
      </xdr:sp>
      <xdr:sp macro="" textlink="">
        <xdr:nvSpPr>
          <xdr:cNvPr id="79" name="Rectangle: Rounded Corners 78">
            <a:extLst>
              <a:ext uri="{FF2B5EF4-FFF2-40B4-BE49-F238E27FC236}">
                <a16:creationId xmlns:a16="http://schemas.microsoft.com/office/drawing/2014/main" id="{4F64E3C1-7B18-4C14-88C6-52689FF0C70B}"/>
              </a:ext>
            </a:extLst>
          </xdr:cNvPr>
          <xdr:cNvSpPr/>
        </xdr:nvSpPr>
        <xdr:spPr>
          <a:xfrm>
            <a:off x="1866230" y="299288"/>
            <a:ext cx="7691601" cy="834001"/>
          </a:xfrm>
          <a:prstGeom prst="roundRect">
            <a:avLst>
              <a:gd name="adj" fmla="val 10000"/>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0070C0"/>
              </a:solidFill>
              <a:latin typeface="Lato Black" panose="020F0A02020204030203" pitchFamily="34" charset="0"/>
            </a:endParaRPr>
          </a:p>
        </xdr:txBody>
      </xdr:sp>
      <xdr:sp macro="" textlink="">
        <xdr:nvSpPr>
          <xdr:cNvPr id="80" name="Rectangle: Rounded Corners 79">
            <a:extLst>
              <a:ext uri="{FF2B5EF4-FFF2-40B4-BE49-F238E27FC236}">
                <a16:creationId xmlns:a16="http://schemas.microsoft.com/office/drawing/2014/main" id="{0CF3DCA3-638F-4C0C-A59A-CD6A88F1BEF8}"/>
              </a:ext>
            </a:extLst>
          </xdr:cNvPr>
          <xdr:cNvSpPr/>
        </xdr:nvSpPr>
        <xdr:spPr>
          <a:xfrm>
            <a:off x="9644298" y="301557"/>
            <a:ext cx="5467351" cy="834001"/>
          </a:xfrm>
          <a:prstGeom prst="roundRect">
            <a:avLst>
              <a:gd name="adj" fmla="val 10000"/>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sp macro="" textlink="">
        <xdr:nvSpPr>
          <xdr:cNvPr id="81" name="Rectangle: Rounded Corners 80">
            <a:extLst>
              <a:ext uri="{FF2B5EF4-FFF2-40B4-BE49-F238E27FC236}">
                <a16:creationId xmlns:a16="http://schemas.microsoft.com/office/drawing/2014/main" id="{22E1E30F-25F2-437E-8A5C-33200DF48F9E}"/>
              </a:ext>
            </a:extLst>
          </xdr:cNvPr>
          <xdr:cNvSpPr/>
        </xdr:nvSpPr>
        <xdr:spPr>
          <a:xfrm>
            <a:off x="5819774" y="2304895"/>
            <a:ext cx="4819651" cy="2772878"/>
          </a:xfrm>
          <a:prstGeom prst="roundRect">
            <a:avLst>
              <a:gd name="adj" fmla="val 330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grpSp>
        <xdr:nvGrpSpPr>
          <xdr:cNvPr id="82" name="Group 81">
            <a:extLst>
              <a:ext uri="{FF2B5EF4-FFF2-40B4-BE49-F238E27FC236}">
                <a16:creationId xmlns:a16="http://schemas.microsoft.com/office/drawing/2014/main" id="{FF7F3A96-B46C-4DA2-B517-5CBF585AA694}"/>
              </a:ext>
            </a:extLst>
          </xdr:cNvPr>
          <xdr:cNvGrpSpPr/>
        </xdr:nvGrpSpPr>
        <xdr:grpSpPr>
          <a:xfrm>
            <a:off x="1846116" y="1204422"/>
            <a:ext cx="13289109" cy="1010140"/>
            <a:chOff x="1846116" y="1204422"/>
            <a:chExt cx="13403409" cy="1010140"/>
          </a:xfrm>
        </xdr:grpSpPr>
        <xdr:sp macro="" textlink="">
          <xdr:nvSpPr>
            <xdr:cNvPr id="97" name="Rectangle: Rounded Corners 96">
              <a:extLst>
                <a:ext uri="{FF2B5EF4-FFF2-40B4-BE49-F238E27FC236}">
                  <a16:creationId xmlns:a16="http://schemas.microsoft.com/office/drawing/2014/main" id="{9A5B20EA-DB77-4EBF-AD80-7D568BD4D23A}"/>
                </a:ext>
              </a:extLst>
            </xdr:cNvPr>
            <xdr:cNvSpPr/>
          </xdr:nvSpPr>
          <xdr:spPr>
            <a:xfrm>
              <a:off x="1846116"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sp macro="" textlink="">
          <xdr:nvSpPr>
            <xdr:cNvPr id="98" name="Rectangle: Rounded Corners 97">
              <a:extLst>
                <a:ext uri="{FF2B5EF4-FFF2-40B4-BE49-F238E27FC236}">
                  <a16:creationId xmlns:a16="http://schemas.microsoft.com/office/drawing/2014/main" id="{B3631019-ECC1-4C9E-B8B1-8C3098C9B5EA}"/>
                </a:ext>
              </a:extLst>
            </xdr:cNvPr>
            <xdr:cNvSpPr/>
          </xdr:nvSpPr>
          <xdr:spPr>
            <a:xfrm>
              <a:off x="4546454"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sp macro="" textlink="">
          <xdr:nvSpPr>
            <xdr:cNvPr id="99" name="Rectangle: Rounded Corners 98">
              <a:extLst>
                <a:ext uri="{FF2B5EF4-FFF2-40B4-BE49-F238E27FC236}">
                  <a16:creationId xmlns:a16="http://schemas.microsoft.com/office/drawing/2014/main" id="{798CDC77-2FA1-48BE-8768-BC5C12E204EC}"/>
                </a:ext>
              </a:extLst>
            </xdr:cNvPr>
            <xdr:cNvSpPr/>
          </xdr:nvSpPr>
          <xdr:spPr>
            <a:xfrm>
              <a:off x="7246792"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sp macro="" textlink="">
          <xdr:nvSpPr>
            <xdr:cNvPr id="100" name="Rectangle: Rounded Corners 99">
              <a:extLst>
                <a:ext uri="{FF2B5EF4-FFF2-40B4-BE49-F238E27FC236}">
                  <a16:creationId xmlns:a16="http://schemas.microsoft.com/office/drawing/2014/main" id="{0A02BBFA-7D0B-47B1-A33C-307D61F88605}"/>
                </a:ext>
              </a:extLst>
            </xdr:cNvPr>
            <xdr:cNvSpPr/>
          </xdr:nvSpPr>
          <xdr:spPr>
            <a:xfrm>
              <a:off x="9947130"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sp macro="" textlink="">
          <xdr:nvSpPr>
            <xdr:cNvPr id="101" name="Rectangle: Rounded Corners 100">
              <a:extLst>
                <a:ext uri="{FF2B5EF4-FFF2-40B4-BE49-F238E27FC236}">
                  <a16:creationId xmlns:a16="http://schemas.microsoft.com/office/drawing/2014/main" id="{8BC8CB2E-EBF3-4687-B345-CEFD18F4F681}"/>
                </a:ext>
              </a:extLst>
            </xdr:cNvPr>
            <xdr:cNvSpPr/>
          </xdr:nvSpPr>
          <xdr:spPr>
            <a:xfrm>
              <a:off x="12647467" y="1215714"/>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sp macro="" textlink="">
          <xdr:nvSpPr>
            <xdr:cNvPr id="104" name="Rectangle: Rounded Corners 103">
              <a:extLst>
                <a:ext uri="{FF2B5EF4-FFF2-40B4-BE49-F238E27FC236}">
                  <a16:creationId xmlns:a16="http://schemas.microsoft.com/office/drawing/2014/main" id="{59D7F6EB-9718-4DF3-8CC6-F46E9939D3D3}"/>
                </a:ext>
              </a:extLst>
            </xdr:cNvPr>
            <xdr:cNvSpPr/>
          </xdr:nvSpPr>
          <xdr:spPr>
            <a:xfrm>
              <a:off x="1889514" y="1204422"/>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sp macro="" textlink="">
          <xdr:nvSpPr>
            <xdr:cNvPr id="105" name="Rectangle: Rounded Corners 104">
              <a:extLst>
                <a:ext uri="{FF2B5EF4-FFF2-40B4-BE49-F238E27FC236}">
                  <a16:creationId xmlns:a16="http://schemas.microsoft.com/office/drawing/2014/main" id="{890B5B83-8F16-4DD1-8FF9-1A2CBE45871F}"/>
                </a:ext>
              </a:extLst>
            </xdr:cNvPr>
            <xdr:cNvSpPr/>
          </xdr:nvSpPr>
          <xdr:spPr>
            <a:xfrm>
              <a:off x="4589852" y="1204422"/>
              <a:ext cx="2602058" cy="998848"/>
            </a:xfrm>
            <a:prstGeom prst="roundRect">
              <a:avLst>
                <a:gd name="adj" fmla="val 6048"/>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grpSp>
      <xdr:grpSp>
        <xdr:nvGrpSpPr>
          <xdr:cNvPr id="83" name="Group 82">
            <a:extLst>
              <a:ext uri="{FF2B5EF4-FFF2-40B4-BE49-F238E27FC236}">
                <a16:creationId xmlns:a16="http://schemas.microsoft.com/office/drawing/2014/main" id="{7D1E6152-62EF-4561-81A5-10AC996BCE04}"/>
              </a:ext>
            </a:extLst>
          </xdr:cNvPr>
          <xdr:cNvGrpSpPr/>
        </xdr:nvGrpSpPr>
        <xdr:grpSpPr>
          <a:xfrm>
            <a:off x="1847145" y="5162550"/>
            <a:ext cx="3867930" cy="2709509"/>
            <a:chOff x="1847145" y="2304895"/>
            <a:chExt cx="3867930" cy="2772878"/>
          </a:xfrm>
        </xdr:grpSpPr>
        <xdr:sp macro="" textlink="">
          <xdr:nvSpPr>
            <xdr:cNvPr id="95" name="Rectangle: Rounded Corners 94">
              <a:extLst>
                <a:ext uri="{FF2B5EF4-FFF2-40B4-BE49-F238E27FC236}">
                  <a16:creationId xmlns:a16="http://schemas.microsoft.com/office/drawing/2014/main" id="{504F2781-A8A9-4812-A57D-0990578D4BCE}"/>
                </a:ext>
              </a:extLst>
            </xdr:cNvPr>
            <xdr:cNvSpPr/>
          </xdr:nvSpPr>
          <xdr:spPr>
            <a:xfrm>
              <a:off x="1847145" y="2304895"/>
              <a:ext cx="3867930" cy="2772878"/>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cxnSp macro="">
          <xdr:nvCxnSpPr>
            <xdr:cNvPr id="96" name="Straight Connector 95">
              <a:extLst>
                <a:ext uri="{FF2B5EF4-FFF2-40B4-BE49-F238E27FC236}">
                  <a16:creationId xmlns:a16="http://schemas.microsoft.com/office/drawing/2014/main" id="{1A127AE3-321C-43DF-B5B2-A6AE066219BC}"/>
                </a:ext>
              </a:extLst>
            </xdr:cNvPr>
            <xdr:cNvCxnSpPr>
              <a:cxnSpLocks/>
            </xdr:cNvCxnSpPr>
          </xdr:nvCxnSpPr>
          <xdr:spPr>
            <a:xfrm flipV="1">
              <a:off x="1963706" y="2678637"/>
              <a:ext cx="3608419" cy="5300"/>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grpSp>
      <xdr:cxnSp macro="">
        <xdr:nvCxnSpPr>
          <xdr:cNvPr id="84" name="Straight Connector 83">
            <a:extLst>
              <a:ext uri="{FF2B5EF4-FFF2-40B4-BE49-F238E27FC236}">
                <a16:creationId xmlns:a16="http://schemas.microsoft.com/office/drawing/2014/main" id="{A0A75B9A-4961-4C50-98B3-3BF8117B8711}"/>
              </a:ext>
            </a:extLst>
          </xdr:cNvPr>
          <xdr:cNvCxnSpPr>
            <a:cxnSpLocks/>
          </xdr:cNvCxnSpPr>
        </xdr:nvCxnSpPr>
        <xdr:spPr>
          <a:xfrm flipH="1">
            <a:off x="6021356" y="2667000"/>
            <a:ext cx="4464000" cy="2650"/>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85" name="Rectangle: Rounded Corners 84">
            <a:extLst>
              <a:ext uri="{FF2B5EF4-FFF2-40B4-BE49-F238E27FC236}">
                <a16:creationId xmlns:a16="http://schemas.microsoft.com/office/drawing/2014/main" id="{3856851E-5232-4187-9234-240AA4E8D6C9}"/>
              </a:ext>
            </a:extLst>
          </xdr:cNvPr>
          <xdr:cNvSpPr/>
        </xdr:nvSpPr>
        <xdr:spPr>
          <a:xfrm>
            <a:off x="10744199" y="2304895"/>
            <a:ext cx="4381501" cy="2772878"/>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cxnSp macro="">
        <xdr:nvCxnSpPr>
          <xdr:cNvPr id="86" name="Straight Connector 85">
            <a:extLst>
              <a:ext uri="{FF2B5EF4-FFF2-40B4-BE49-F238E27FC236}">
                <a16:creationId xmlns:a16="http://schemas.microsoft.com/office/drawing/2014/main" id="{6591C5AA-3F62-4CFB-9BC5-6936F2A7985B}"/>
              </a:ext>
            </a:extLst>
          </xdr:cNvPr>
          <xdr:cNvCxnSpPr>
            <a:cxnSpLocks/>
          </xdr:cNvCxnSpPr>
        </xdr:nvCxnSpPr>
        <xdr:spPr>
          <a:xfrm flipV="1">
            <a:off x="10917205" y="2678637"/>
            <a:ext cx="4068000" cy="5300"/>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87" name="Rectangle: Rounded Corners 86">
            <a:extLst>
              <a:ext uri="{FF2B5EF4-FFF2-40B4-BE49-F238E27FC236}">
                <a16:creationId xmlns:a16="http://schemas.microsoft.com/office/drawing/2014/main" id="{1726BDC3-6802-41BA-880C-2DFD335A40AB}"/>
              </a:ext>
            </a:extLst>
          </xdr:cNvPr>
          <xdr:cNvSpPr/>
        </xdr:nvSpPr>
        <xdr:spPr>
          <a:xfrm>
            <a:off x="1847145" y="2280698"/>
            <a:ext cx="3867930" cy="2754668"/>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cxnSp macro="">
        <xdr:nvCxnSpPr>
          <xdr:cNvPr id="88" name="Straight Connector 87">
            <a:extLst>
              <a:ext uri="{FF2B5EF4-FFF2-40B4-BE49-F238E27FC236}">
                <a16:creationId xmlns:a16="http://schemas.microsoft.com/office/drawing/2014/main" id="{EDA96B2F-8077-406A-9506-4A5B89D6E8C1}"/>
              </a:ext>
            </a:extLst>
          </xdr:cNvPr>
          <xdr:cNvCxnSpPr>
            <a:cxnSpLocks/>
          </xdr:cNvCxnSpPr>
        </xdr:nvCxnSpPr>
        <xdr:spPr>
          <a:xfrm flipV="1">
            <a:off x="1963706" y="2666813"/>
            <a:ext cx="3608419" cy="5265"/>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89" name="Rectangle: Rounded Corners 88">
            <a:extLst>
              <a:ext uri="{FF2B5EF4-FFF2-40B4-BE49-F238E27FC236}">
                <a16:creationId xmlns:a16="http://schemas.microsoft.com/office/drawing/2014/main" id="{A50A27E1-183C-40B4-A4D7-79EF739DED89}"/>
              </a:ext>
            </a:extLst>
          </xdr:cNvPr>
          <xdr:cNvSpPr/>
        </xdr:nvSpPr>
        <xdr:spPr>
          <a:xfrm>
            <a:off x="5809545" y="5162550"/>
            <a:ext cx="3564000" cy="2709509"/>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cxnSp macro="">
        <xdr:nvCxnSpPr>
          <xdr:cNvPr id="90" name="Straight Connector 89">
            <a:extLst>
              <a:ext uri="{FF2B5EF4-FFF2-40B4-BE49-F238E27FC236}">
                <a16:creationId xmlns:a16="http://schemas.microsoft.com/office/drawing/2014/main" id="{6C9FCD03-18C6-4C48-990C-0F43CCEA4DB2}"/>
              </a:ext>
            </a:extLst>
          </xdr:cNvPr>
          <xdr:cNvCxnSpPr>
            <a:cxnSpLocks/>
          </xdr:cNvCxnSpPr>
        </xdr:nvCxnSpPr>
        <xdr:spPr>
          <a:xfrm flipV="1">
            <a:off x="6009569" y="5524500"/>
            <a:ext cx="3096000" cy="5179"/>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91" name="Rectangle: Rounded Corners 90">
            <a:extLst>
              <a:ext uri="{FF2B5EF4-FFF2-40B4-BE49-F238E27FC236}">
                <a16:creationId xmlns:a16="http://schemas.microsoft.com/office/drawing/2014/main" id="{C1F14AAA-F0DD-4778-B9FE-7939B555208F}"/>
              </a:ext>
            </a:extLst>
          </xdr:cNvPr>
          <xdr:cNvSpPr/>
        </xdr:nvSpPr>
        <xdr:spPr>
          <a:xfrm>
            <a:off x="9467145" y="5162550"/>
            <a:ext cx="2844000" cy="2700000"/>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cxnSp macro="">
        <xdr:nvCxnSpPr>
          <xdr:cNvPr id="92" name="Straight Connector 91">
            <a:extLst>
              <a:ext uri="{FF2B5EF4-FFF2-40B4-BE49-F238E27FC236}">
                <a16:creationId xmlns:a16="http://schemas.microsoft.com/office/drawing/2014/main" id="{91473407-828A-4023-8005-B26BE4E1E633}"/>
              </a:ext>
            </a:extLst>
          </xdr:cNvPr>
          <xdr:cNvCxnSpPr>
            <a:cxnSpLocks/>
          </xdr:cNvCxnSpPr>
        </xdr:nvCxnSpPr>
        <xdr:spPr>
          <a:xfrm flipV="1">
            <a:off x="9686219" y="5524500"/>
            <a:ext cx="2448000" cy="5179"/>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93" name="Rectangle: Rounded Corners 92">
            <a:extLst>
              <a:ext uri="{FF2B5EF4-FFF2-40B4-BE49-F238E27FC236}">
                <a16:creationId xmlns:a16="http://schemas.microsoft.com/office/drawing/2014/main" id="{6A365DEF-671D-40E7-9A5A-C60E02B82BEC}"/>
              </a:ext>
            </a:extLst>
          </xdr:cNvPr>
          <xdr:cNvSpPr/>
        </xdr:nvSpPr>
        <xdr:spPr>
          <a:xfrm>
            <a:off x="12419895" y="5162550"/>
            <a:ext cx="2700000" cy="2700000"/>
          </a:xfrm>
          <a:prstGeom prst="roundRect">
            <a:avLst>
              <a:gd name="adj" fmla="val 3303"/>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cxnSp macro="">
        <xdr:nvCxnSpPr>
          <xdr:cNvPr id="94" name="Straight Connector 93">
            <a:extLst>
              <a:ext uri="{FF2B5EF4-FFF2-40B4-BE49-F238E27FC236}">
                <a16:creationId xmlns:a16="http://schemas.microsoft.com/office/drawing/2014/main" id="{F0292E4F-FD8C-4D11-A14F-CF687D306327}"/>
              </a:ext>
            </a:extLst>
          </xdr:cNvPr>
          <xdr:cNvCxnSpPr>
            <a:cxnSpLocks/>
          </xdr:cNvCxnSpPr>
        </xdr:nvCxnSpPr>
        <xdr:spPr>
          <a:xfrm flipV="1">
            <a:off x="12543719" y="5514975"/>
            <a:ext cx="2448000" cy="5179"/>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102" name="Rectangle: Rounded Corners 101">
            <a:extLst>
              <a:ext uri="{FF2B5EF4-FFF2-40B4-BE49-F238E27FC236}">
                <a16:creationId xmlns:a16="http://schemas.microsoft.com/office/drawing/2014/main" id="{B5D61FB4-76CE-4231-A02D-8E0841DBACEA}"/>
              </a:ext>
            </a:extLst>
          </xdr:cNvPr>
          <xdr:cNvSpPr/>
        </xdr:nvSpPr>
        <xdr:spPr>
          <a:xfrm>
            <a:off x="1909258" y="287996"/>
            <a:ext cx="7691601" cy="834001"/>
          </a:xfrm>
          <a:prstGeom prst="roundRect">
            <a:avLst>
              <a:gd name="adj" fmla="val 10000"/>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0070C0"/>
              </a:solidFill>
              <a:latin typeface="Lato Black" panose="020F0A02020204030203" pitchFamily="34" charset="0"/>
            </a:endParaRPr>
          </a:p>
        </xdr:txBody>
      </xdr:sp>
      <xdr:sp macro="" textlink="">
        <xdr:nvSpPr>
          <xdr:cNvPr id="103" name="Rectangle: Rounded Corners 102">
            <a:extLst>
              <a:ext uri="{FF2B5EF4-FFF2-40B4-BE49-F238E27FC236}">
                <a16:creationId xmlns:a16="http://schemas.microsoft.com/office/drawing/2014/main" id="{1B25E9EC-8EA4-4804-9278-E42282E4F38F}"/>
              </a:ext>
            </a:extLst>
          </xdr:cNvPr>
          <xdr:cNvSpPr/>
        </xdr:nvSpPr>
        <xdr:spPr>
          <a:xfrm>
            <a:off x="9644298" y="278974"/>
            <a:ext cx="5470529" cy="845713"/>
          </a:xfrm>
          <a:prstGeom prst="roundRect">
            <a:avLst>
              <a:gd name="adj" fmla="val 10000"/>
            </a:avLst>
          </a:prstGeom>
          <a:solidFill>
            <a:schemeClr val="bg1">
              <a:alpha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0070C0"/>
              </a:solidFill>
            </a:endParaRPr>
          </a:p>
        </xdr:txBody>
      </xdr:sp>
    </xdr:grpSp>
    <xdr:clientData/>
  </xdr:twoCellAnchor>
  <xdr:twoCellAnchor>
    <xdr:from>
      <xdr:col>5</xdr:col>
      <xdr:colOff>32657</xdr:colOff>
      <xdr:row>12</xdr:row>
      <xdr:rowOff>54429</xdr:rowOff>
    </xdr:from>
    <xdr:to>
      <xdr:col>7</xdr:col>
      <xdr:colOff>587829</xdr:colOff>
      <xdr:row>13</xdr:row>
      <xdr:rowOff>174172</xdr:rowOff>
    </xdr:to>
    <xdr:sp macro="" textlink="">
      <xdr:nvSpPr>
        <xdr:cNvPr id="115" name="TextBox 114">
          <a:extLst>
            <a:ext uri="{FF2B5EF4-FFF2-40B4-BE49-F238E27FC236}">
              <a16:creationId xmlns:a16="http://schemas.microsoft.com/office/drawing/2014/main" id="{020169D1-EC07-49DB-8D82-49ABA417EA8E}"/>
            </a:ext>
          </a:extLst>
        </xdr:cNvPr>
        <xdr:cNvSpPr txBox="1"/>
      </xdr:nvSpPr>
      <xdr:spPr>
        <a:xfrm>
          <a:off x="3080657" y="2275115"/>
          <a:ext cx="177437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02928"/>
              </a:solidFill>
              <a:latin typeface="+mn-lt"/>
            </a:rPr>
            <a:t>TOTAL</a:t>
          </a:r>
          <a:r>
            <a:rPr lang="en-US" sz="1400" b="1" baseline="0">
              <a:solidFill>
                <a:srgbClr val="602928"/>
              </a:solidFill>
              <a:latin typeface="+mn-lt"/>
            </a:rPr>
            <a:t> </a:t>
          </a:r>
          <a:r>
            <a:rPr lang="en-US" sz="1500" b="1" baseline="0">
              <a:solidFill>
                <a:srgbClr val="602928"/>
              </a:solidFill>
              <a:latin typeface="+mn-lt"/>
            </a:rPr>
            <a:t>EMPOLYEES</a:t>
          </a:r>
          <a:endParaRPr lang="en-AS" sz="1500" b="1">
            <a:solidFill>
              <a:srgbClr val="602928"/>
            </a:solidFill>
            <a:latin typeface="+mn-lt"/>
          </a:endParaRPr>
        </a:p>
      </xdr:txBody>
    </xdr:sp>
    <xdr:clientData/>
  </xdr:twoCellAnchor>
  <xdr:twoCellAnchor>
    <xdr:from>
      <xdr:col>5</xdr:col>
      <xdr:colOff>381000</xdr:colOff>
      <xdr:row>13</xdr:row>
      <xdr:rowOff>152401</xdr:rowOff>
    </xdr:from>
    <xdr:to>
      <xdr:col>8</xdr:col>
      <xdr:colOff>391886</xdr:colOff>
      <xdr:row>16</xdr:row>
      <xdr:rowOff>43544</xdr:rowOff>
    </xdr:to>
    <xdr:sp macro="" textlink="KPI!A8">
      <xdr:nvSpPr>
        <xdr:cNvPr id="116" name="TextBox 115">
          <a:extLst>
            <a:ext uri="{FF2B5EF4-FFF2-40B4-BE49-F238E27FC236}">
              <a16:creationId xmlns:a16="http://schemas.microsoft.com/office/drawing/2014/main" id="{09F9AD1D-6D72-45B7-BFF5-B64629634CCF}"/>
            </a:ext>
          </a:extLst>
        </xdr:cNvPr>
        <xdr:cNvSpPr txBox="1"/>
      </xdr:nvSpPr>
      <xdr:spPr>
        <a:xfrm>
          <a:off x="3429000" y="2558144"/>
          <a:ext cx="1839686"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3A3F72-2296-43C2-AC49-C92999117800}" type="TxLink">
            <a:rPr lang="en-US" sz="2600" b="1" i="0" u="none" strike="noStrike">
              <a:solidFill>
                <a:srgbClr val="002060"/>
              </a:solidFill>
              <a:latin typeface="Calibri"/>
              <a:cs typeface="Calibri"/>
            </a:rPr>
            <a:pPr algn="ctr"/>
            <a:t>1470</a:t>
          </a:fld>
          <a:endParaRPr lang="en-US" sz="2600" b="1">
            <a:solidFill>
              <a:srgbClr val="002060"/>
            </a:solidFill>
          </a:endParaRPr>
        </a:p>
      </xdr:txBody>
    </xdr:sp>
    <xdr:clientData/>
  </xdr:twoCellAnchor>
  <xdr:twoCellAnchor>
    <xdr:from>
      <xdr:col>9</xdr:col>
      <xdr:colOff>476994</xdr:colOff>
      <xdr:row>13</xdr:row>
      <xdr:rowOff>155368</xdr:rowOff>
    </xdr:from>
    <xdr:to>
      <xdr:col>12</xdr:col>
      <xdr:colOff>487880</xdr:colOff>
      <xdr:row>16</xdr:row>
      <xdr:rowOff>46511</xdr:rowOff>
    </xdr:to>
    <xdr:sp macro="" textlink="KPI!B8">
      <xdr:nvSpPr>
        <xdr:cNvPr id="118" name="TextBox 117">
          <a:extLst>
            <a:ext uri="{FF2B5EF4-FFF2-40B4-BE49-F238E27FC236}">
              <a16:creationId xmlns:a16="http://schemas.microsoft.com/office/drawing/2014/main" id="{079576DE-1F97-4179-AD46-421C5DD7519D}"/>
            </a:ext>
          </a:extLst>
        </xdr:cNvPr>
        <xdr:cNvSpPr txBox="1"/>
      </xdr:nvSpPr>
      <xdr:spPr>
        <a:xfrm>
          <a:off x="5963394" y="2561111"/>
          <a:ext cx="1839686"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4DC578-A8FC-4DD4-BC6A-3515CC0E125E}" type="TxLink">
            <a:rPr lang="en-US" sz="2600" b="1" i="0" u="none" strike="noStrike">
              <a:solidFill>
                <a:srgbClr val="002060"/>
              </a:solidFill>
              <a:latin typeface="Lato Block"/>
              <a:cs typeface="Calibri"/>
            </a:rPr>
            <a:pPr algn="ctr"/>
            <a:t>237</a:t>
          </a:fld>
          <a:endParaRPr lang="en-US" sz="2600" b="1">
            <a:solidFill>
              <a:srgbClr val="002060"/>
            </a:solidFill>
            <a:latin typeface="Lato Block"/>
          </a:endParaRPr>
        </a:p>
      </xdr:txBody>
    </xdr:sp>
    <xdr:clientData/>
  </xdr:twoCellAnchor>
  <xdr:twoCellAnchor>
    <xdr:from>
      <xdr:col>9</xdr:col>
      <xdr:colOff>324592</xdr:colOff>
      <xdr:row>12</xdr:row>
      <xdr:rowOff>57399</xdr:rowOff>
    </xdr:from>
    <xdr:to>
      <xdr:col>12</xdr:col>
      <xdr:colOff>270164</xdr:colOff>
      <xdr:row>13</xdr:row>
      <xdr:rowOff>177142</xdr:rowOff>
    </xdr:to>
    <xdr:sp macro="" textlink="">
      <xdr:nvSpPr>
        <xdr:cNvPr id="125" name="TextBox 124">
          <a:extLst>
            <a:ext uri="{FF2B5EF4-FFF2-40B4-BE49-F238E27FC236}">
              <a16:creationId xmlns:a16="http://schemas.microsoft.com/office/drawing/2014/main" id="{95741448-8F95-484E-A7D1-EEED4C600008}"/>
            </a:ext>
          </a:extLst>
        </xdr:cNvPr>
        <xdr:cNvSpPr txBox="1"/>
      </xdr:nvSpPr>
      <xdr:spPr>
        <a:xfrm>
          <a:off x="5810992" y="2278085"/>
          <a:ext cx="177437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rgbClr val="602928"/>
              </a:solidFill>
              <a:latin typeface="+mn-lt"/>
            </a:rPr>
            <a:t>Attrition</a:t>
          </a:r>
          <a:r>
            <a:rPr lang="en-US" sz="1400" b="1" baseline="0">
              <a:solidFill>
                <a:srgbClr val="602928"/>
              </a:solidFill>
              <a:latin typeface="+mn-lt"/>
            </a:rPr>
            <a:t> </a:t>
          </a:r>
          <a:endParaRPr lang="en-AS" sz="1500" b="1">
            <a:solidFill>
              <a:srgbClr val="602928"/>
            </a:solidFill>
            <a:latin typeface="+mn-lt"/>
          </a:endParaRPr>
        </a:p>
      </xdr:txBody>
    </xdr:sp>
    <xdr:clientData/>
  </xdr:twoCellAnchor>
  <xdr:twoCellAnchor>
    <xdr:from>
      <xdr:col>13</xdr:col>
      <xdr:colOff>531420</xdr:colOff>
      <xdr:row>12</xdr:row>
      <xdr:rowOff>68283</xdr:rowOff>
    </xdr:from>
    <xdr:to>
      <xdr:col>16</xdr:col>
      <xdr:colOff>476992</xdr:colOff>
      <xdr:row>14</xdr:row>
      <xdr:rowOff>2969</xdr:rowOff>
    </xdr:to>
    <xdr:sp macro="" textlink="">
      <xdr:nvSpPr>
        <xdr:cNvPr id="128" name="TextBox 127">
          <a:extLst>
            <a:ext uri="{FF2B5EF4-FFF2-40B4-BE49-F238E27FC236}">
              <a16:creationId xmlns:a16="http://schemas.microsoft.com/office/drawing/2014/main" id="{6E85A631-90E1-448E-9A70-A6DB08FFA22D}"/>
            </a:ext>
          </a:extLst>
        </xdr:cNvPr>
        <xdr:cNvSpPr txBox="1"/>
      </xdr:nvSpPr>
      <xdr:spPr>
        <a:xfrm>
          <a:off x="8456220" y="2288969"/>
          <a:ext cx="177437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rgbClr val="602928"/>
              </a:solidFill>
              <a:latin typeface="+mn-lt"/>
            </a:rPr>
            <a:t>ACTIVE EMPOLYEE </a:t>
          </a:r>
          <a:endParaRPr lang="en-AS" sz="1500" b="1">
            <a:solidFill>
              <a:srgbClr val="602928"/>
            </a:solidFill>
            <a:latin typeface="+mn-lt"/>
          </a:endParaRPr>
        </a:p>
      </xdr:txBody>
    </xdr:sp>
    <xdr:clientData/>
  </xdr:twoCellAnchor>
  <xdr:twoCellAnchor>
    <xdr:from>
      <xdr:col>18</xdr:col>
      <xdr:colOff>185058</xdr:colOff>
      <xdr:row>12</xdr:row>
      <xdr:rowOff>43543</xdr:rowOff>
    </xdr:from>
    <xdr:to>
      <xdr:col>21</xdr:col>
      <xdr:colOff>130630</xdr:colOff>
      <xdr:row>13</xdr:row>
      <xdr:rowOff>163286</xdr:rowOff>
    </xdr:to>
    <xdr:sp macro="" textlink="">
      <xdr:nvSpPr>
        <xdr:cNvPr id="131" name="TextBox 130">
          <a:extLst>
            <a:ext uri="{FF2B5EF4-FFF2-40B4-BE49-F238E27FC236}">
              <a16:creationId xmlns:a16="http://schemas.microsoft.com/office/drawing/2014/main" id="{1AF080F6-7E19-4F86-9106-02AFD73DC4A4}"/>
            </a:ext>
          </a:extLst>
        </xdr:cNvPr>
        <xdr:cNvSpPr txBox="1"/>
      </xdr:nvSpPr>
      <xdr:spPr>
        <a:xfrm>
          <a:off x="11157858" y="2264229"/>
          <a:ext cx="177437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rgbClr val="602928"/>
              </a:solidFill>
              <a:latin typeface="+mn-lt"/>
            </a:rPr>
            <a:t>Attrition</a:t>
          </a:r>
          <a:r>
            <a:rPr lang="en-US" sz="1400" b="1" baseline="0">
              <a:solidFill>
                <a:srgbClr val="602928"/>
              </a:solidFill>
              <a:latin typeface="+mn-lt"/>
            </a:rPr>
            <a:t> RATE</a:t>
          </a:r>
          <a:endParaRPr lang="en-AS" sz="1500" b="1">
            <a:solidFill>
              <a:srgbClr val="602928"/>
            </a:solidFill>
            <a:latin typeface="+mn-lt"/>
          </a:endParaRPr>
        </a:p>
      </xdr:txBody>
    </xdr:sp>
    <xdr:clientData/>
  </xdr:twoCellAnchor>
  <xdr:twoCellAnchor>
    <xdr:from>
      <xdr:col>22</xdr:col>
      <xdr:colOff>413658</xdr:colOff>
      <xdr:row>12</xdr:row>
      <xdr:rowOff>21771</xdr:rowOff>
    </xdr:from>
    <xdr:to>
      <xdr:col>25</xdr:col>
      <xdr:colOff>359230</xdr:colOff>
      <xdr:row>13</xdr:row>
      <xdr:rowOff>141514</xdr:rowOff>
    </xdr:to>
    <xdr:sp macro="" textlink="">
      <xdr:nvSpPr>
        <xdr:cNvPr id="133" name="TextBox 132">
          <a:extLst>
            <a:ext uri="{FF2B5EF4-FFF2-40B4-BE49-F238E27FC236}">
              <a16:creationId xmlns:a16="http://schemas.microsoft.com/office/drawing/2014/main" id="{65C13E46-0D28-4402-84A8-86D731A79E5D}"/>
            </a:ext>
          </a:extLst>
        </xdr:cNvPr>
        <xdr:cNvSpPr txBox="1"/>
      </xdr:nvSpPr>
      <xdr:spPr>
        <a:xfrm>
          <a:off x="13824858" y="2242457"/>
          <a:ext cx="177437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rgbClr val="602928"/>
              </a:solidFill>
              <a:latin typeface="+mn-lt"/>
            </a:rPr>
            <a:t>Averge</a:t>
          </a:r>
          <a:r>
            <a:rPr lang="en-US" sz="1500" b="1" baseline="0">
              <a:solidFill>
                <a:srgbClr val="602928"/>
              </a:solidFill>
              <a:latin typeface="+mn-lt"/>
            </a:rPr>
            <a:t> Age</a:t>
          </a:r>
          <a:endParaRPr lang="en-AS" sz="1500" b="1">
            <a:solidFill>
              <a:srgbClr val="602928"/>
            </a:solidFill>
            <a:latin typeface="+mn-lt"/>
          </a:endParaRPr>
        </a:p>
      </xdr:txBody>
    </xdr:sp>
    <xdr:clientData/>
  </xdr:twoCellAnchor>
  <xdr:twoCellAnchor>
    <xdr:from>
      <xdr:col>18</xdr:col>
      <xdr:colOff>195943</xdr:colOff>
      <xdr:row>13</xdr:row>
      <xdr:rowOff>152399</xdr:rowOff>
    </xdr:from>
    <xdr:to>
      <xdr:col>21</xdr:col>
      <xdr:colOff>206829</xdr:colOff>
      <xdr:row>16</xdr:row>
      <xdr:rowOff>43542</xdr:rowOff>
    </xdr:to>
    <xdr:sp macro="" textlink="KPI!E8">
      <xdr:nvSpPr>
        <xdr:cNvPr id="135" name="TextBox 134">
          <a:extLst>
            <a:ext uri="{FF2B5EF4-FFF2-40B4-BE49-F238E27FC236}">
              <a16:creationId xmlns:a16="http://schemas.microsoft.com/office/drawing/2014/main" id="{2DFE9492-38E0-4899-8BA5-D37D72B0FD79}"/>
            </a:ext>
          </a:extLst>
        </xdr:cNvPr>
        <xdr:cNvSpPr txBox="1"/>
      </xdr:nvSpPr>
      <xdr:spPr>
        <a:xfrm>
          <a:off x="11168743" y="2558142"/>
          <a:ext cx="1839686"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0FB0B8-8945-47EC-9274-2465A0D08929}" type="TxLink">
            <a:rPr lang="en-US" sz="2600" b="1" i="0" u="none" strike="noStrike">
              <a:solidFill>
                <a:srgbClr val="002060"/>
              </a:solidFill>
              <a:latin typeface="Calibri"/>
              <a:cs typeface="Calibri"/>
            </a:rPr>
            <a:pPr algn="ctr"/>
            <a:t>16.12%</a:t>
          </a:fld>
          <a:endParaRPr lang="en-US" sz="2600" b="1">
            <a:solidFill>
              <a:srgbClr val="002060"/>
            </a:solidFill>
            <a:latin typeface="Lato Block"/>
          </a:endParaRPr>
        </a:p>
      </xdr:txBody>
    </xdr:sp>
    <xdr:clientData/>
  </xdr:twoCellAnchor>
  <xdr:twoCellAnchor>
    <xdr:from>
      <xdr:col>14</xdr:col>
      <xdr:colOff>0</xdr:colOff>
      <xdr:row>13</xdr:row>
      <xdr:rowOff>152399</xdr:rowOff>
    </xdr:from>
    <xdr:to>
      <xdr:col>17</xdr:col>
      <xdr:colOff>10886</xdr:colOff>
      <xdr:row>16</xdr:row>
      <xdr:rowOff>43542</xdr:rowOff>
    </xdr:to>
    <xdr:sp macro="" textlink="KPI!D8">
      <xdr:nvSpPr>
        <xdr:cNvPr id="136" name="TextBox 135">
          <a:extLst>
            <a:ext uri="{FF2B5EF4-FFF2-40B4-BE49-F238E27FC236}">
              <a16:creationId xmlns:a16="http://schemas.microsoft.com/office/drawing/2014/main" id="{0B7A01F2-0B25-4A26-B1BA-5D48C12E3048}"/>
            </a:ext>
          </a:extLst>
        </xdr:cNvPr>
        <xdr:cNvSpPr txBox="1"/>
      </xdr:nvSpPr>
      <xdr:spPr>
        <a:xfrm>
          <a:off x="8534400" y="2558142"/>
          <a:ext cx="1839686"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AC184E-516D-48C0-8669-07D6A4F601F8}" type="TxLink">
            <a:rPr lang="en-US" sz="2600" b="1" i="0" u="none" strike="noStrike">
              <a:solidFill>
                <a:srgbClr val="002060"/>
              </a:solidFill>
              <a:latin typeface="Calibri"/>
              <a:cs typeface="Calibri"/>
            </a:rPr>
            <a:pPr algn="ctr"/>
            <a:t>1233</a:t>
          </a:fld>
          <a:endParaRPr lang="en-US" sz="2600" b="1">
            <a:solidFill>
              <a:srgbClr val="002060"/>
            </a:solidFill>
            <a:latin typeface="Lato Block"/>
          </a:endParaRPr>
        </a:p>
      </xdr:txBody>
    </xdr:sp>
    <xdr:clientData/>
  </xdr:twoCellAnchor>
  <xdr:twoCellAnchor>
    <xdr:from>
      <xdr:col>22</xdr:col>
      <xdr:colOff>381001</xdr:colOff>
      <xdr:row>13</xdr:row>
      <xdr:rowOff>108858</xdr:rowOff>
    </xdr:from>
    <xdr:to>
      <xdr:col>25</xdr:col>
      <xdr:colOff>391887</xdr:colOff>
      <xdr:row>16</xdr:row>
      <xdr:rowOff>1</xdr:rowOff>
    </xdr:to>
    <xdr:sp macro="" textlink="KPI!C8">
      <xdr:nvSpPr>
        <xdr:cNvPr id="137" name="TextBox 136">
          <a:extLst>
            <a:ext uri="{FF2B5EF4-FFF2-40B4-BE49-F238E27FC236}">
              <a16:creationId xmlns:a16="http://schemas.microsoft.com/office/drawing/2014/main" id="{DE46B7F1-D3C0-4422-A960-521CF2608B49}"/>
            </a:ext>
          </a:extLst>
        </xdr:cNvPr>
        <xdr:cNvSpPr txBox="1"/>
      </xdr:nvSpPr>
      <xdr:spPr>
        <a:xfrm>
          <a:off x="13792201" y="2514601"/>
          <a:ext cx="1839686"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EA16B9-C4C7-4124-A7F2-073267D7EEBA}" type="TxLink">
            <a:rPr lang="en-US" sz="2600" b="1" i="0" u="none" strike="noStrike">
              <a:solidFill>
                <a:srgbClr val="002060"/>
              </a:solidFill>
              <a:latin typeface="Calibri"/>
              <a:cs typeface="Calibri"/>
            </a:rPr>
            <a:pPr algn="ctr"/>
            <a:t>37</a:t>
          </a:fld>
          <a:endParaRPr lang="en-US" sz="2600" b="1">
            <a:solidFill>
              <a:srgbClr val="002060"/>
            </a:solidFill>
            <a:latin typeface="Lato Block"/>
          </a:endParaRPr>
        </a:p>
      </xdr:txBody>
    </xdr:sp>
    <xdr:clientData/>
  </xdr:twoCellAnchor>
  <xdr:twoCellAnchor editAs="oneCell">
    <xdr:from>
      <xdr:col>8</xdr:col>
      <xdr:colOff>217714</xdr:colOff>
      <xdr:row>12</xdr:row>
      <xdr:rowOff>97971</xdr:rowOff>
    </xdr:from>
    <xdr:to>
      <xdr:col>8</xdr:col>
      <xdr:colOff>551550</xdr:colOff>
      <xdr:row>14</xdr:row>
      <xdr:rowOff>51444</xdr:rowOff>
    </xdr:to>
    <xdr:pic>
      <xdr:nvPicPr>
        <xdr:cNvPr id="139" name="Picture 138">
          <a:extLst>
            <a:ext uri="{FF2B5EF4-FFF2-40B4-BE49-F238E27FC236}">
              <a16:creationId xmlns:a16="http://schemas.microsoft.com/office/drawing/2014/main" id="{A044CC69-6B7F-4F81-9E7B-D076B7CB975A}"/>
            </a:ext>
          </a:extLst>
        </xdr:cNvPr>
        <xdr:cNvPicPr>
          <a:picLocks noChangeAspect="1"/>
        </xdr:cNvPicPr>
      </xdr:nvPicPr>
      <xdr:blipFill>
        <a:blip xmlns:r="http://schemas.openxmlformats.org/officeDocument/2006/relationships" r:embed="rId1"/>
        <a:stretch>
          <a:fillRect/>
        </a:stretch>
      </xdr:blipFill>
      <xdr:spPr>
        <a:xfrm>
          <a:off x="5094514" y="2318657"/>
          <a:ext cx="333836" cy="323587"/>
        </a:xfrm>
        <a:prstGeom prst="rect">
          <a:avLst/>
        </a:prstGeom>
      </xdr:spPr>
    </xdr:pic>
    <xdr:clientData/>
  </xdr:twoCellAnchor>
  <xdr:twoCellAnchor editAs="oneCell">
    <xdr:from>
      <xdr:col>17</xdr:col>
      <xdr:colOff>87086</xdr:colOff>
      <xdr:row>12</xdr:row>
      <xdr:rowOff>141514</xdr:rowOff>
    </xdr:from>
    <xdr:to>
      <xdr:col>17</xdr:col>
      <xdr:colOff>435311</xdr:colOff>
      <xdr:row>14</xdr:row>
      <xdr:rowOff>84802</xdr:rowOff>
    </xdr:to>
    <xdr:pic>
      <xdr:nvPicPr>
        <xdr:cNvPr id="141" name="Picture 140">
          <a:extLst>
            <a:ext uri="{FF2B5EF4-FFF2-40B4-BE49-F238E27FC236}">
              <a16:creationId xmlns:a16="http://schemas.microsoft.com/office/drawing/2014/main" id="{D3EEBD65-E8DC-42D2-9EC5-ED0B8FEB6BBB}"/>
            </a:ext>
          </a:extLst>
        </xdr:cNvPr>
        <xdr:cNvPicPr>
          <a:picLocks noChangeAspect="1"/>
        </xdr:cNvPicPr>
      </xdr:nvPicPr>
      <xdr:blipFill>
        <a:blip xmlns:r="http://schemas.openxmlformats.org/officeDocument/2006/relationships" r:embed="rId2"/>
        <a:stretch>
          <a:fillRect/>
        </a:stretch>
      </xdr:blipFill>
      <xdr:spPr>
        <a:xfrm>
          <a:off x="10450286" y="2362200"/>
          <a:ext cx="348225" cy="313402"/>
        </a:xfrm>
        <a:prstGeom prst="rect">
          <a:avLst/>
        </a:prstGeom>
      </xdr:spPr>
    </xdr:pic>
    <xdr:clientData/>
  </xdr:twoCellAnchor>
  <xdr:twoCellAnchor editAs="oneCell">
    <xdr:from>
      <xdr:col>21</xdr:col>
      <xdr:colOff>413657</xdr:colOff>
      <xdr:row>12</xdr:row>
      <xdr:rowOff>141514</xdr:rowOff>
    </xdr:from>
    <xdr:to>
      <xdr:col>22</xdr:col>
      <xdr:colOff>127296</xdr:colOff>
      <xdr:row>14</xdr:row>
      <xdr:rowOff>94639</xdr:rowOff>
    </xdr:to>
    <xdr:pic>
      <xdr:nvPicPr>
        <xdr:cNvPr id="143" name="Picture 142">
          <a:extLst>
            <a:ext uri="{FF2B5EF4-FFF2-40B4-BE49-F238E27FC236}">
              <a16:creationId xmlns:a16="http://schemas.microsoft.com/office/drawing/2014/main" id="{D25E0EAB-6CC3-479A-AB78-939EAA0B4B8B}"/>
            </a:ext>
          </a:extLst>
        </xdr:cNvPr>
        <xdr:cNvPicPr>
          <a:picLocks noChangeAspect="1"/>
        </xdr:cNvPicPr>
      </xdr:nvPicPr>
      <xdr:blipFill>
        <a:blip xmlns:r="http://schemas.openxmlformats.org/officeDocument/2006/relationships" r:embed="rId3"/>
        <a:stretch>
          <a:fillRect/>
        </a:stretch>
      </xdr:blipFill>
      <xdr:spPr>
        <a:xfrm>
          <a:off x="13215257" y="2362200"/>
          <a:ext cx="323239" cy="323239"/>
        </a:xfrm>
        <a:prstGeom prst="rect">
          <a:avLst/>
        </a:prstGeom>
      </xdr:spPr>
    </xdr:pic>
    <xdr:clientData/>
  </xdr:twoCellAnchor>
  <xdr:twoCellAnchor editAs="oneCell">
    <xdr:from>
      <xdr:col>25</xdr:col>
      <xdr:colOff>533399</xdr:colOff>
      <xdr:row>12</xdr:row>
      <xdr:rowOff>163285</xdr:rowOff>
    </xdr:from>
    <xdr:to>
      <xdr:col>26</xdr:col>
      <xdr:colOff>220106</xdr:colOff>
      <xdr:row>14</xdr:row>
      <xdr:rowOff>68313</xdr:rowOff>
    </xdr:to>
    <xdr:pic>
      <xdr:nvPicPr>
        <xdr:cNvPr id="145" name="Picture 144">
          <a:extLst>
            <a:ext uri="{FF2B5EF4-FFF2-40B4-BE49-F238E27FC236}">
              <a16:creationId xmlns:a16="http://schemas.microsoft.com/office/drawing/2014/main" id="{48370779-1B79-4508-BED6-CD6B81EB3C9B}"/>
            </a:ext>
          </a:extLst>
        </xdr:cNvPr>
        <xdr:cNvPicPr>
          <a:picLocks noChangeAspect="1"/>
        </xdr:cNvPicPr>
      </xdr:nvPicPr>
      <xdr:blipFill>
        <a:blip xmlns:r="http://schemas.openxmlformats.org/officeDocument/2006/relationships" r:embed="rId4"/>
        <a:stretch>
          <a:fillRect/>
        </a:stretch>
      </xdr:blipFill>
      <xdr:spPr>
        <a:xfrm>
          <a:off x="15773399" y="2383971"/>
          <a:ext cx="296307" cy="275142"/>
        </a:xfrm>
        <a:prstGeom prst="rect">
          <a:avLst/>
        </a:prstGeom>
      </xdr:spPr>
    </xdr:pic>
    <xdr:clientData/>
  </xdr:twoCellAnchor>
  <xdr:twoCellAnchor editAs="oneCell">
    <xdr:from>
      <xdr:col>12</xdr:col>
      <xdr:colOff>413657</xdr:colOff>
      <xdr:row>12</xdr:row>
      <xdr:rowOff>76200</xdr:rowOff>
    </xdr:from>
    <xdr:to>
      <xdr:col>13</xdr:col>
      <xdr:colOff>222204</xdr:colOff>
      <xdr:row>14</xdr:row>
      <xdr:rowOff>124233</xdr:rowOff>
    </xdr:to>
    <xdr:pic>
      <xdr:nvPicPr>
        <xdr:cNvPr id="147" name="Picture 146">
          <a:extLst>
            <a:ext uri="{FF2B5EF4-FFF2-40B4-BE49-F238E27FC236}">
              <a16:creationId xmlns:a16="http://schemas.microsoft.com/office/drawing/2014/main" id="{79A359F1-15C0-48BB-8EBA-0BFF8625C908}"/>
            </a:ext>
          </a:extLst>
        </xdr:cNvPr>
        <xdr:cNvPicPr>
          <a:picLocks noChangeAspect="1"/>
        </xdr:cNvPicPr>
      </xdr:nvPicPr>
      <xdr:blipFill>
        <a:blip xmlns:r="http://schemas.openxmlformats.org/officeDocument/2006/relationships" r:embed="rId5"/>
        <a:stretch>
          <a:fillRect/>
        </a:stretch>
      </xdr:blipFill>
      <xdr:spPr>
        <a:xfrm>
          <a:off x="7728857" y="2296886"/>
          <a:ext cx="418147" cy="418147"/>
        </a:xfrm>
        <a:prstGeom prst="rect">
          <a:avLst/>
        </a:prstGeom>
      </xdr:spPr>
    </xdr:pic>
    <xdr:clientData/>
  </xdr:twoCellAnchor>
  <xdr:twoCellAnchor>
    <xdr:from>
      <xdr:col>6</xdr:col>
      <xdr:colOff>97971</xdr:colOff>
      <xdr:row>7</xdr:row>
      <xdr:rowOff>130629</xdr:rowOff>
    </xdr:from>
    <xdr:to>
      <xdr:col>17</xdr:col>
      <xdr:colOff>272143</xdr:colOff>
      <xdr:row>11</xdr:row>
      <xdr:rowOff>76200</xdr:rowOff>
    </xdr:to>
    <xdr:sp macro="" textlink="">
      <xdr:nvSpPr>
        <xdr:cNvPr id="148" name="TextBox 147">
          <a:extLst>
            <a:ext uri="{FF2B5EF4-FFF2-40B4-BE49-F238E27FC236}">
              <a16:creationId xmlns:a16="http://schemas.microsoft.com/office/drawing/2014/main" id="{AB65A16F-D787-4CE0-871D-971C4EC495BA}"/>
            </a:ext>
          </a:extLst>
        </xdr:cNvPr>
        <xdr:cNvSpPr txBox="1"/>
      </xdr:nvSpPr>
      <xdr:spPr>
        <a:xfrm>
          <a:off x="3755571" y="1426029"/>
          <a:ext cx="6879772"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rgbClr val="002060"/>
              </a:solidFill>
            </a:rPr>
            <a:t>HR ANALYTICS DASHBOARD</a:t>
          </a:r>
          <a:endParaRPr lang="en-AS" sz="4400" b="1">
            <a:solidFill>
              <a:srgbClr val="002060"/>
            </a:solidFill>
          </a:endParaRPr>
        </a:p>
      </xdr:txBody>
    </xdr:sp>
    <xdr:clientData/>
  </xdr:twoCellAnchor>
  <xdr:twoCellAnchor editAs="oneCell">
    <xdr:from>
      <xdr:col>17</xdr:col>
      <xdr:colOff>478971</xdr:colOff>
      <xdr:row>7</xdr:row>
      <xdr:rowOff>130629</xdr:rowOff>
    </xdr:from>
    <xdr:to>
      <xdr:col>18</xdr:col>
      <xdr:colOff>525986</xdr:colOff>
      <xdr:row>11</xdr:row>
      <xdr:rowOff>47015</xdr:rowOff>
    </xdr:to>
    <xdr:pic>
      <xdr:nvPicPr>
        <xdr:cNvPr id="153" name="Picture 152">
          <a:extLst>
            <a:ext uri="{FF2B5EF4-FFF2-40B4-BE49-F238E27FC236}">
              <a16:creationId xmlns:a16="http://schemas.microsoft.com/office/drawing/2014/main" id="{D9BF09C9-73CF-44CC-80CE-DF7E3BCC1A71}"/>
            </a:ext>
          </a:extLst>
        </xdr:cNvPr>
        <xdr:cNvPicPr>
          <a:picLocks noChangeAspect="1"/>
        </xdr:cNvPicPr>
      </xdr:nvPicPr>
      <xdr:blipFill>
        <a:blip xmlns:r="http://schemas.openxmlformats.org/officeDocument/2006/relationships" r:embed="rId6"/>
        <a:stretch>
          <a:fillRect/>
        </a:stretch>
      </xdr:blipFill>
      <xdr:spPr>
        <a:xfrm>
          <a:off x="10842171" y="1426029"/>
          <a:ext cx="656615" cy="656615"/>
        </a:xfrm>
        <a:prstGeom prst="rect">
          <a:avLst/>
        </a:prstGeom>
      </xdr:spPr>
    </xdr:pic>
    <xdr:clientData/>
  </xdr:twoCellAnchor>
  <xdr:twoCellAnchor>
    <xdr:from>
      <xdr:col>18</xdr:col>
      <xdr:colOff>195943</xdr:colOff>
      <xdr:row>7</xdr:row>
      <xdr:rowOff>65313</xdr:rowOff>
    </xdr:from>
    <xdr:to>
      <xdr:col>21</xdr:col>
      <xdr:colOff>337457</xdr:colOff>
      <xdr:row>11</xdr:row>
      <xdr:rowOff>97969</xdr:rowOff>
    </xdr:to>
    <xdr:sp macro="" textlink="">
      <xdr:nvSpPr>
        <xdr:cNvPr id="154" name="TextBox 153">
          <a:extLst>
            <a:ext uri="{FF2B5EF4-FFF2-40B4-BE49-F238E27FC236}">
              <a16:creationId xmlns:a16="http://schemas.microsoft.com/office/drawing/2014/main" id="{8963F2B2-A56E-44BD-A730-64A6DF08540A}"/>
            </a:ext>
          </a:extLst>
        </xdr:cNvPr>
        <xdr:cNvSpPr txBox="1"/>
      </xdr:nvSpPr>
      <xdr:spPr>
        <a:xfrm>
          <a:off x="11168743" y="1360713"/>
          <a:ext cx="1970314" cy="772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latin typeface="Lato Block"/>
            </a:rPr>
            <a:t>JOB</a:t>
          </a:r>
        </a:p>
        <a:p>
          <a:pPr algn="ctr"/>
          <a:r>
            <a:rPr lang="en-US" sz="1300" b="1">
              <a:latin typeface="Lato Block"/>
            </a:rPr>
            <a:t>SATISFACTION</a:t>
          </a:r>
        </a:p>
        <a:p>
          <a:pPr algn="ctr"/>
          <a:r>
            <a:rPr lang="en-US" sz="1300" b="1">
              <a:latin typeface="Lato Block"/>
            </a:rPr>
            <a:t>RATING</a:t>
          </a:r>
          <a:endParaRPr lang="en-AS" sz="1300" b="1">
            <a:latin typeface="Lato Block"/>
          </a:endParaRPr>
        </a:p>
      </xdr:txBody>
    </xdr:sp>
    <xdr:clientData/>
  </xdr:twoCellAnchor>
  <xdr:twoCellAnchor>
    <xdr:from>
      <xdr:col>20</xdr:col>
      <xdr:colOff>424543</xdr:colOff>
      <xdr:row>7</xdr:row>
      <xdr:rowOff>54430</xdr:rowOff>
    </xdr:from>
    <xdr:to>
      <xdr:col>23</xdr:col>
      <xdr:colOff>304800</xdr:colOff>
      <xdr:row>12</xdr:row>
      <xdr:rowOff>0</xdr:rowOff>
    </xdr:to>
    <xdr:graphicFrame macro="">
      <xdr:nvGraphicFramePr>
        <xdr:cNvPr id="157" name="Chart 156">
          <a:extLst>
            <a:ext uri="{FF2B5EF4-FFF2-40B4-BE49-F238E27FC236}">
              <a16:creationId xmlns:a16="http://schemas.microsoft.com/office/drawing/2014/main" id="{7E4B9255-0E91-41EE-87E1-986A8A954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413657</xdr:colOff>
      <xdr:row>8</xdr:row>
      <xdr:rowOff>163286</xdr:rowOff>
    </xdr:from>
    <xdr:to>
      <xdr:col>22</xdr:col>
      <xdr:colOff>228600</xdr:colOff>
      <xdr:row>10</xdr:row>
      <xdr:rowOff>32658</xdr:rowOff>
    </xdr:to>
    <xdr:sp macro="" textlink="">
      <xdr:nvSpPr>
        <xdr:cNvPr id="155" name="TextBox 154">
          <a:extLst>
            <a:ext uri="{FF2B5EF4-FFF2-40B4-BE49-F238E27FC236}">
              <a16:creationId xmlns:a16="http://schemas.microsoft.com/office/drawing/2014/main" id="{D7E2F5B8-C1F9-4ABC-A300-934AC762D77E}"/>
            </a:ext>
          </a:extLst>
        </xdr:cNvPr>
        <xdr:cNvSpPr txBox="1"/>
      </xdr:nvSpPr>
      <xdr:spPr>
        <a:xfrm>
          <a:off x="13215257" y="1643743"/>
          <a:ext cx="424543"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002060"/>
              </a:solidFill>
            </a:rPr>
            <a:t>3.9</a:t>
          </a:r>
        </a:p>
      </xdr:txBody>
    </xdr:sp>
    <xdr:clientData/>
  </xdr:twoCellAnchor>
  <xdr:twoCellAnchor>
    <xdr:from>
      <xdr:col>23</xdr:col>
      <xdr:colOff>163286</xdr:colOff>
      <xdr:row>8</xdr:row>
      <xdr:rowOff>108858</xdr:rowOff>
    </xdr:from>
    <xdr:to>
      <xdr:col>25</xdr:col>
      <xdr:colOff>573676</xdr:colOff>
      <xdr:row>11</xdr:row>
      <xdr:rowOff>10886</xdr:rowOff>
    </xdr:to>
    <xdr:graphicFrame macro="">
      <xdr:nvGraphicFramePr>
        <xdr:cNvPr id="162" name="Chart 161">
          <a:extLst>
            <a:ext uri="{FF2B5EF4-FFF2-40B4-BE49-F238E27FC236}">
              <a16:creationId xmlns:a16="http://schemas.microsoft.com/office/drawing/2014/main" id="{7D27ABE0-FD5F-484E-AD97-3CDB3CA0D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576943</xdr:colOff>
      <xdr:row>8</xdr:row>
      <xdr:rowOff>0</xdr:rowOff>
    </xdr:from>
    <xdr:to>
      <xdr:col>26</xdr:col>
      <xdr:colOff>258933</xdr:colOff>
      <xdr:row>11</xdr:row>
      <xdr:rowOff>39633</xdr:rowOff>
    </xdr:to>
    <xdr:sp macro="" textlink="">
      <xdr:nvSpPr>
        <xdr:cNvPr id="160" name="Freeform: Shape 159">
          <a:extLst>
            <a:ext uri="{FF2B5EF4-FFF2-40B4-BE49-F238E27FC236}">
              <a16:creationId xmlns:a16="http://schemas.microsoft.com/office/drawing/2014/main" id="{B926DFFD-346E-447E-884C-36F9750DA865}"/>
            </a:ext>
          </a:extLst>
        </xdr:cNvPr>
        <xdr:cNvSpPr/>
      </xdr:nvSpPr>
      <xdr:spPr>
        <a:xfrm>
          <a:off x="13988143" y="1480457"/>
          <a:ext cx="2120390" cy="594805"/>
        </a:xfrm>
        <a:custGeom>
          <a:avLst/>
          <a:gdLst>
            <a:gd name="connsiteX0" fmla="*/ 1375304 w 2112152"/>
            <a:gd name="connsiteY0" fmla="*/ 131494 h 690818"/>
            <a:gd name="connsiteX1" fmla="*/ 1323959 w 2112152"/>
            <a:gd name="connsiteY1" fmla="*/ 282831 h 690818"/>
            <a:gd name="connsiteX2" fmla="*/ 1157801 w 2112152"/>
            <a:gd name="connsiteY2" fmla="*/ 282830 h 690818"/>
            <a:gd name="connsiteX3" fmla="*/ 1292227 w 2112152"/>
            <a:gd name="connsiteY3" fmla="*/ 376360 h 690818"/>
            <a:gd name="connsiteX4" fmla="*/ 1240880 w 2112152"/>
            <a:gd name="connsiteY4" fmla="*/ 527696 h 690818"/>
            <a:gd name="connsiteX5" fmla="*/ 1375304 w 2112152"/>
            <a:gd name="connsiteY5" fmla="*/ 434164 h 690818"/>
            <a:gd name="connsiteX6" fmla="*/ 1509728 w 2112152"/>
            <a:gd name="connsiteY6" fmla="*/ 527696 h 690818"/>
            <a:gd name="connsiteX7" fmla="*/ 1458381 w 2112152"/>
            <a:gd name="connsiteY7" fmla="*/ 376360 h 690818"/>
            <a:gd name="connsiteX8" fmla="*/ 1592807 w 2112152"/>
            <a:gd name="connsiteY8" fmla="*/ 282830 h 690818"/>
            <a:gd name="connsiteX9" fmla="*/ 1426649 w 2112152"/>
            <a:gd name="connsiteY9" fmla="*/ 282831 h 690818"/>
            <a:gd name="connsiteX10" fmla="*/ 844121 w 2112152"/>
            <a:gd name="connsiteY10" fmla="*/ 109854 h 690818"/>
            <a:gd name="connsiteX11" fmla="*/ 792776 w 2112152"/>
            <a:gd name="connsiteY11" fmla="*/ 269457 h 690818"/>
            <a:gd name="connsiteX12" fmla="*/ 626618 w 2112152"/>
            <a:gd name="connsiteY12" fmla="*/ 269455 h 690818"/>
            <a:gd name="connsiteX13" fmla="*/ 761044 w 2112152"/>
            <a:gd name="connsiteY13" fmla="*/ 368094 h 690818"/>
            <a:gd name="connsiteX14" fmla="*/ 709697 w 2112152"/>
            <a:gd name="connsiteY14" fmla="*/ 527696 h 690818"/>
            <a:gd name="connsiteX15" fmla="*/ 844121 w 2112152"/>
            <a:gd name="connsiteY15" fmla="*/ 429055 h 690818"/>
            <a:gd name="connsiteX16" fmla="*/ 978545 w 2112152"/>
            <a:gd name="connsiteY16" fmla="*/ 527696 h 690818"/>
            <a:gd name="connsiteX17" fmla="*/ 927198 w 2112152"/>
            <a:gd name="connsiteY17" fmla="*/ 368094 h 690818"/>
            <a:gd name="connsiteX18" fmla="*/ 1061624 w 2112152"/>
            <a:gd name="connsiteY18" fmla="*/ 269455 h 690818"/>
            <a:gd name="connsiteX19" fmla="*/ 895466 w 2112152"/>
            <a:gd name="connsiteY19" fmla="*/ 269457 h 690818"/>
            <a:gd name="connsiteX20" fmla="*/ 312938 w 2112152"/>
            <a:gd name="connsiteY20" fmla="*/ 109854 h 690818"/>
            <a:gd name="connsiteX21" fmla="*/ 261593 w 2112152"/>
            <a:gd name="connsiteY21" fmla="*/ 261191 h 690818"/>
            <a:gd name="connsiteX22" fmla="*/ 95435 w 2112152"/>
            <a:gd name="connsiteY22" fmla="*/ 261190 h 690818"/>
            <a:gd name="connsiteX23" fmla="*/ 229861 w 2112152"/>
            <a:gd name="connsiteY23" fmla="*/ 354720 h 690818"/>
            <a:gd name="connsiteX24" fmla="*/ 178514 w 2112152"/>
            <a:gd name="connsiteY24" fmla="*/ 506056 h 690818"/>
            <a:gd name="connsiteX25" fmla="*/ 312938 w 2112152"/>
            <a:gd name="connsiteY25" fmla="*/ 412524 h 690818"/>
            <a:gd name="connsiteX26" fmla="*/ 447362 w 2112152"/>
            <a:gd name="connsiteY26" fmla="*/ 506056 h 690818"/>
            <a:gd name="connsiteX27" fmla="*/ 396015 w 2112152"/>
            <a:gd name="connsiteY27" fmla="*/ 354720 h 690818"/>
            <a:gd name="connsiteX28" fmla="*/ 530441 w 2112152"/>
            <a:gd name="connsiteY28" fmla="*/ 261190 h 690818"/>
            <a:gd name="connsiteX29" fmla="*/ 364283 w 2112152"/>
            <a:gd name="connsiteY29" fmla="*/ 261191 h 690818"/>
            <a:gd name="connsiteX30" fmla="*/ 0 w 2112152"/>
            <a:gd name="connsiteY30" fmla="*/ 0 h 690818"/>
            <a:gd name="connsiteX31" fmla="*/ 2112152 w 2112152"/>
            <a:gd name="connsiteY31" fmla="*/ 0 h 690818"/>
            <a:gd name="connsiteX32" fmla="*/ 2112152 w 2112152"/>
            <a:gd name="connsiteY32" fmla="*/ 296089 h 690818"/>
            <a:gd name="connsiteX33" fmla="*/ 1950515 w 2112152"/>
            <a:gd name="connsiteY33" fmla="*/ 296090 h 690818"/>
            <a:gd name="connsiteX34" fmla="*/ 1900568 w 2112152"/>
            <a:gd name="connsiteY34" fmla="*/ 136488 h 690818"/>
            <a:gd name="connsiteX35" fmla="*/ 1850621 w 2112152"/>
            <a:gd name="connsiteY35" fmla="*/ 296090 h 690818"/>
            <a:gd name="connsiteX36" fmla="*/ 1688984 w 2112152"/>
            <a:gd name="connsiteY36" fmla="*/ 296089 h 690818"/>
            <a:gd name="connsiteX37" fmla="*/ 1819752 w 2112152"/>
            <a:gd name="connsiteY37" fmla="*/ 394727 h 690818"/>
            <a:gd name="connsiteX38" fmla="*/ 1769802 w 2112152"/>
            <a:gd name="connsiteY38" fmla="*/ 554329 h 690818"/>
            <a:gd name="connsiteX39" fmla="*/ 1900568 w 2112152"/>
            <a:gd name="connsiteY39" fmla="*/ 455689 h 690818"/>
            <a:gd name="connsiteX40" fmla="*/ 2031334 w 2112152"/>
            <a:gd name="connsiteY40" fmla="*/ 554329 h 690818"/>
            <a:gd name="connsiteX41" fmla="*/ 1981384 w 2112152"/>
            <a:gd name="connsiteY41" fmla="*/ 394727 h 690818"/>
            <a:gd name="connsiteX42" fmla="*/ 2112152 w 2112152"/>
            <a:gd name="connsiteY42" fmla="*/ 296089 h 690818"/>
            <a:gd name="connsiteX43" fmla="*/ 2112152 w 2112152"/>
            <a:gd name="connsiteY43" fmla="*/ 690818 h 690818"/>
            <a:gd name="connsiteX44" fmla="*/ 0 w 2112152"/>
            <a:gd name="connsiteY44" fmla="*/ 690818 h 6908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12152" h="690818">
              <a:moveTo>
                <a:pt x="1375304" y="131494"/>
              </a:moveTo>
              <a:lnTo>
                <a:pt x="1323959" y="282831"/>
              </a:lnTo>
              <a:lnTo>
                <a:pt x="1157801" y="282830"/>
              </a:lnTo>
              <a:lnTo>
                <a:pt x="1292227" y="376360"/>
              </a:lnTo>
              <a:lnTo>
                <a:pt x="1240880" y="527696"/>
              </a:lnTo>
              <a:lnTo>
                <a:pt x="1375304" y="434164"/>
              </a:lnTo>
              <a:lnTo>
                <a:pt x="1509728" y="527696"/>
              </a:lnTo>
              <a:lnTo>
                <a:pt x="1458381" y="376360"/>
              </a:lnTo>
              <a:lnTo>
                <a:pt x="1592807" y="282830"/>
              </a:lnTo>
              <a:lnTo>
                <a:pt x="1426649" y="282831"/>
              </a:lnTo>
              <a:close/>
              <a:moveTo>
                <a:pt x="844121" y="109854"/>
              </a:moveTo>
              <a:lnTo>
                <a:pt x="792776" y="269457"/>
              </a:lnTo>
              <a:lnTo>
                <a:pt x="626618" y="269455"/>
              </a:lnTo>
              <a:lnTo>
                <a:pt x="761044" y="368094"/>
              </a:lnTo>
              <a:lnTo>
                <a:pt x="709697" y="527696"/>
              </a:lnTo>
              <a:lnTo>
                <a:pt x="844121" y="429055"/>
              </a:lnTo>
              <a:lnTo>
                <a:pt x="978545" y="527696"/>
              </a:lnTo>
              <a:lnTo>
                <a:pt x="927198" y="368094"/>
              </a:lnTo>
              <a:lnTo>
                <a:pt x="1061624" y="269455"/>
              </a:lnTo>
              <a:lnTo>
                <a:pt x="895466" y="269457"/>
              </a:lnTo>
              <a:close/>
              <a:moveTo>
                <a:pt x="312938" y="109854"/>
              </a:moveTo>
              <a:lnTo>
                <a:pt x="261593" y="261191"/>
              </a:lnTo>
              <a:lnTo>
                <a:pt x="95435" y="261190"/>
              </a:lnTo>
              <a:lnTo>
                <a:pt x="229861" y="354720"/>
              </a:lnTo>
              <a:lnTo>
                <a:pt x="178514" y="506056"/>
              </a:lnTo>
              <a:lnTo>
                <a:pt x="312938" y="412524"/>
              </a:lnTo>
              <a:lnTo>
                <a:pt x="447362" y="506056"/>
              </a:lnTo>
              <a:lnTo>
                <a:pt x="396015" y="354720"/>
              </a:lnTo>
              <a:lnTo>
                <a:pt x="530441" y="261190"/>
              </a:lnTo>
              <a:lnTo>
                <a:pt x="364283" y="261191"/>
              </a:lnTo>
              <a:close/>
              <a:moveTo>
                <a:pt x="0" y="0"/>
              </a:moveTo>
              <a:lnTo>
                <a:pt x="2112152" y="0"/>
              </a:lnTo>
              <a:lnTo>
                <a:pt x="2112152" y="296089"/>
              </a:lnTo>
              <a:lnTo>
                <a:pt x="1950515" y="296090"/>
              </a:lnTo>
              <a:lnTo>
                <a:pt x="1900568" y="136488"/>
              </a:lnTo>
              <a:lnTo>
                <a:pt x="1850621" y="296090"/>
              </a:lnTo>
              <a:lnTo>
                <a:pt x="1688984" y="296089"/>
              </a:lnTo>
              <a:lnTo>
                <a:pt x="1819752" y="394727"/>
              </a:lnTo>
              <a:lnTo>
                <a:pt x="1769802" y="554329"/>
              </a:lnTo>
              <a:lnTo>
                <a:pt x="1900568" y="455689"/>
              </a:lnTo>
              <a:lnTo>
                <a:pt x="2031334" y="554329"/>
              </a:lnTo>
              <a:lnTo>
                <a:pt x="1981384" y="394727"/>
              </a:lnTo>
              <a:lnTo>
                <a:pt x="2112152" y="296089"/>
              </a:lnTo>
              <a:lnTo>
                <a:pt x="2112152" y="690818"/>
              </a:lnTo>
              <a:lnTo>
                <a:pt x="0" y="690818"/>
              </a:lnTo>
              <a:close/>
            </a:path>
          </a:pathLst>
        </a:custGeom>
        <a:gradFill>
          <a:gsLst>
            <a:gs pos="0">
              <a:schemeClr val="accent1">
                <a:lumMod val="5000"/>
                <a:lumOff val="95000"/>
              </a:schemeClr>
            </a:gs>
            <a:gs pos="71000">
              <a:srgbClr val="002060"/>
            </a:gs>
            <a:gs pos="22000">
              <a:srgbClr val="C00000"/>
            </a:gs>
          </a:gsLst>
          <a:lin ang="96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A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S"/>
        </a:p>
      </xdr:txBody>
    </xdr:sp>
    <xdr:clientData/>
  </xdr:twoCellAnchor>
  <xdr:twoCellAnchor>
    <xdr:from>
      <xdr:col>4</xdr:col>
      <xdr:colOff>391884</xdr:colOff>
      <xdr:row>23</xdr:row>
      <xdr:rowOff>168727</xdr:rowOff>
    </xdr:from>
    <xdr:to>
      <xdr:col>7</xdr:col>
      <xdr:colOff>3084</xdr:colOff>
      <xdr:row>31</xdr:row>
      <xdr:rowOff>128270</xdr:rowOff>
    </xdr:to>
    <xdr:graphicFrame macro="">
      <xdr:nvGraphicFramePr>
        <xdr:cNvPr id="55" name="Chart 54">
          <a:extLst>
            <a:ext uri="{FF2B5EF4-FFF2-40B4-BE49-F238E27FC236}">
              <a16:creationId xmlns:a16="http://schemas.microsoft.com/office/drawing/2014/main" id="{C61E5418-7D49-4162-B971-907356FC4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489857</xdr:colOff>
      <xdr:row>23</xdr:row>
      <xdr:rowOff>179613</xdr:rowOff>
    </xdr:from>
    <xdr:to>
      <xdr:col>11</xdr:col>
      <xdr:colOff>101057</xdr:colOff>
      <xdr:row>31</xdr:row>
      <xdr:rowOff>139156</xdr:rowOff>
    </xdr:to>
    <xdr:graphicFrame macro="">
      <xdr:nvGraphicFramePr>
        <xdr:cNvPr id="57" name="Chart 56">
          <a:extLst>
            <a:ext uri="{FF2B5EF4-FFF2-40B4-BE49-F238E27FC236}">
              <a16:creationId xmlns:a16="http://schemas.microsoft.com/office/drawing/2014/main" id="{15B130C5-44D6-4BBB-B3D1-94F2BB392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598714</xdr:colOff>
      <xdr:row>25</xdr:row>
      <xdr:rowOff>141514</xdr:rowOff>
    </xdr:from>
    <xdr:to>
      <xdr:col>9</xdr:col>
      <xdr:colOff>27514</xdr:colOff>
      <xdr:row>29</xdr:row>
      <xdr:rowOff>130145</xdr:rowOff>
    </xdr:to>
    <xdr:pic>
      <xdr:nvPicPr>
        <xdr:cNvPr id="59" name="Picture 58">
          <a:extLst>
            <a:ext uri="{FF2B5EF4-FFF2-40B4-BE49-F238E27FC236}">
              <a16:creationId xmlns:a16="http://schemas.microsoft.com/office/drawing/2014/main" id="{82583DFF-7DE3-4562-803D-1C9270EFD5A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865914" y="4767943"/>
          <a:ext cx="648000" cy="728859"/>
        </a:xfrm>
        <a:prstGeom prst="rect">
          <a:avLst/>
        </a:prstGeom>
      </xdr:spPr>
    </xdr:pic>
    <xdr:clientData/>
  </xdr:twoCellAnchor>
  <xdr:twoCellAnchor editAs="oneCell">
    <xdr:from>
      <xdr:col>6</xdr:col>
      <xdr:colOff>500744</xdr:colOff>
      <xdr:row>25</xdr:row>
      <xdr:rowOff>141513</xdr:rowOff>
    </xdr:from>
    <xdr:to>
      <xdr:col>7</xdr:col>
      <xdr:colOff>575144</xdr:colOff>
      <xdr:row>29</xdr:row>
      <xdr:rowOff>96316</xdr:rowOff>
    </xdr:to>
    <xdr:pic>
      <xdr:nvPicPr>
        <xdr:cNvPr id="61" name="Picture 60">
          <a:extLst>
            <a:ext uri="{FF2B5EF4-FFF2-40B4-BE49-F238E27FC236}">
              <a16:creationId xmlns:a16="http://schemas.microsoft.com/office/drawing/2014/main" id="{1918D4CA-E8FA-4451-8AAB-10B91CD185C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158344" y="4767942"/>
          <a:ext cx="684000" cy="695031"/>
        </a:xfrm>
        <a:prstGeom prst="rect">
          <a:avLst/>
        </a:prstGeom>
        <a:noFill/>
        <a:ln>
          <a:noFill/>
        </a:ln>
      </xdr:spPr>
    </xdr:pic>
    <xdr:clientData/>
  </xdr:twoCellAnchor>
  <xdr:twoCellAnchor>
    <xdr:from>
      <xdr:col>4</xdr:col>
      <xdr:colOff>587829</xdr:colOff>
      <xdr:row>17</xdr:row>
      <xdr:rowOff>130629</xdr:rowOff>
    </xdr:from>
    <xdr:to>
      <xdr:col>9</xdr:col>
      <xdr:colOff>337457</xdr:colOff>
      <xdr:row>19</xdr:row>
      <xdr:rowOff>21771</xdr:rowOff>
    </xdr:to>
    <xdr:sp macro="" textlink="">
      <xdr:nvSpPr>
        <xdr:cNvPr id="2" name="TextBox 1">
          <a:extLst>
            <a:ext uri="{FF2B5EF4-FFF2-40B4-BE49-F238E27FC236}">
              <a16:creationId xmlns:a16="http://schemas.microsoft.com/office/drawing/2014/main" id="{AB75EDB9-AD7D-41DF-A0D4-713883495F6D}"/>
            </a:ext>
          </a:extLst>
        </xdr:cNvPr>
        <xdr:cNvSpPr txBox="1"/>
      </xdr:nvSpPr>
      <xdr:spPr>
        <a:xfrm>
          <a:off x="3026229" y="3276600"/>
          <a:ext cx="2797628" cy="2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Employees by Gender</a:t>
          </a:r>
          <a:endParaRPr lang="en-AS" sz="1600" b="1"/>
        </a:p>
      </xdr:txBody>
    </xdr:sp>
    <xdr:clientData/>
  </xdr:twoCellAnchor>
  <xdr:twoCellAnchor editAs="oneCell">
    <xdr:from>
      <xdr:col>6</xdr:col>
      <xdr:colOff>195944</xdr:colOff>
      <xdr:row>21</xdr:row>
      <xdr:rowOff>43544</xdr:rowOff>
    </xdr:from>
    <xdr:to>
      <xdr:col>9</xdr:col>
      <xdr:colOff>195944</xdr:colOff>
      <xdr:row>24</xdr:row>
      <xdr:rowOff>130629</xdr:rowOff>
    </xdr:to>
    <mc:AlternateContent xmlns:mc="http://schemas.openxmlformats.org/markup-compatibility/2006" xmlns:a14="http://schemas.microsoft.com/office/drawing/2010/main">
      <mc:Choice Requires="a14">
        <xdr:graphicFrame macro="">
          <xdr:nvGraphicFramePr>
            <xdr:cNvPr id="64" name="Gender 3">
              <a:extLst>
                <a:ext uri="{FF2B5EF4-FFF2-40B4-BE49-F238E27FC236}">
                  <a16:creationId xmlns:a16="http://schemas.microsoft.com/office/drawing/2014/main" id="{A043E364-1FC1-45D9-8440-B82881A441A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853544" y="3929744"/>
              <a:ext cx="1828800" cy="642256"/>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293916</xdr:colOff>
      <xdr:row>20</xdr:row>
      <xdr:rowOff>87085</xdr:rowOff>
    </xdr:from>
    <xdr:to>
      <xdr:col>19</xdr:col>
      <xdr:colOff>185058</xdr:colOff>
      <xdr:row>31</xdr:row>
      <xdr:rowOff>130629</xdr:rowOff>
    </xdr:to>
    <xdr:graphicFrame macro="">
      <xdr:nvGraphicFramePr>
        <xdr:cNvPr id="66" name="Chart 65">
          <a:extLst>
            <a:ext uri="{FF2B5EF4-FFF2-40B4-BE49-F238E27FC236}">
              <a16:creationId xmlns:a16="http://schemas.microsoft.com/office/drawing/2014/main" id="{0BA8FDD0-B37E-456A-BEA2-8D2F6207C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346364</xdr:colOff>
      <xdr:row>17</xdr:row>
      <xdr:rowOff>177140</xdr:rowOff>
    </xdr:from>
    <xdr:to>
      <xdr:col>16</xdr:col>
      <xdr:colOff>95992</xdr:colOff>
      <xdr:row>19</xdr:row>
      <xdr:rowOff>68282</xdr:rowOff>
    </xdr:to>
    <xdr:sp macro="" textlink="">
      <xdr:nvSpPr>
        <xdr:cNvPr id="68" name="TextBox 67">
          <a:extLst>
            <a:ext uri="{FF2B5EF4-FFF2-40B4-BE49-F238E27FC236}">
              <a16:creationId xmlns:a16="http://schemas.microsoft.com/office/drawing/2014/main" id="{310A47B4-9275-44D8-996F-5C6FAF896D68}"/>
            </a:ext>
          </a:extLst>
        </xdr:cNvPr>
        <xdr:cNvSpPr txBox="1"/>
      </xdr:nvSpPr>
      <xdr:spPr>
        <a:xfrm>
          <a:off x="7051964" y="3323111"/>
          <a:ext cx="2797628" cy="2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Education</a:t>
          </a:r>
          <a:r>
            <a:rPr lang="en-US" sz="1600" b="1" baseline="0"/>
            <a:t> Wise Attrition </a:t>
          </a:r>
          <a:endParaRPr lang="en-AS" sz="1600" b="1"/>
        </a:p>
      </xdr:txBody>
    </xdr:sp>
    <xdr:clientData/>
  </xdr:twoCellAnchor>
  <xdr:twoCellAnchor>
    <xdr:from>
      <xdr:col>19</xdr:col>
      <xdr:colOff>337457</xdr:colOff>
      <xdr:row>19</xdr:row>
      <xdr:rowOff>174171</xdr:rowOff>
    </xdr:from>
    <xdr:to>
      <xdr:col>26</xdr:col>
      <xdr:colOff>359228</xdr:colOff>
      <xdr:row>32</xdr:row>
      <xdr:rowOff>20138</xdr:rowOff>
    </xdr:to>
    <mc:AlternateContent xmlns:mc="http://schemas.openxmlformats.org/markup-compatibility/2006">
      <mc:Choice xmlns:cx1="http://schemas.microsoft.com/office/drawing/2015/9/8/chartex" Requires="cx1">
        <xdr:graphicFrame macro="">
          <xdr:nvGraphicFramePr>
            <xdr:cNvPr id="72" name="Chart 71">
              <a:extLst>
                <a:ext uri="{FF2B5EF4-FFF2-40B4-BE49-F238E27FC236}">
                  <a16:creationId xmlns:a16="http://schemas.microsoft.com/office/drawing/2014/main" id="{174F7B3F-5A28-4C69-AAC9-785CE31BA7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919857" y="3648891"/>
              <a:ext cx="4288971" cy="2223407"/>
            </a:xfrm>
            <a:prstGeom prst="rect">
              <a:avLst/>
            </a:prstGeom>
            <a:solidFill>
              <a:prstClr val="white"/>
            </a:solidFill>
            <a:ln w="1">
              <a:solidFill>
                <a:prstClr val="green"/>
              </a:solidFill>
            </a:ln>
          </xdr:spPr>
          <xdr:txBody>
            <a:bodyPr vertOverflow="clip" horzOverflow="clip"/>
            <a:lstStyle/>
            <a:p>
              <a:r>
                <a:rPr lang="en-A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346363</xdr:colOff>
      <xdr:row>17</xdr:row>
      <xdr:rowOff>166254</xdr:rowOff>
    </xdr:from>
    <xdr:to>
      <xdr:col>24</xdr:col>
      <xdr:colOff>95991</xdr:colOff>
      <xdr:row>19</xdr:row>
      <xdr:rowOff>57396</xdr:rowOff>
    </xdr:to>
    <xdr:sp macro="" textlink="">
      <xdr:nvSpPr>
        <xdr:cNvPr id="73" name="TextBox 72">
          <a:extLst>
            <a:ext uri="{FF2B5EF4-FFF2-40B4-BE49-F238E27FC236}">
              <a16:creationId xmlns:a16="http://schemas.microsoft.com/office/drawing/2014/main" id="{40073BD7-B330-40FF-8B61-A674BD4B80B7}"/>
            </a:ext>
          </a:extLst>
        </xdr:cNvPr>
        <xdr:cNvSpPr txBox="1"/>
      </xdr:nvSpPr>
      <xdr:spPr>
        <a:xfrm>
          <a:off x="11928763" y="3312225"/>
          <a:ext cx="2797628" cy="2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a:t>
          </a:r>
          <a:r>
            <a:rPr lang="en-US" sz="1600" b="1" baseline="0"/>
            <a:t> by job Role</a:t>
          </a:r>
          <a:endParaRPr lang="en-AS" sz="1600" b="1"/>
        </a:p>
      </xdr:txBody>
    </xdr:sp>
    <xdr:clientData/>
  </xdr:twoCellAnchor>
  <xdr:twoCellAnchor>
    <xdr:from>
      <xdr:col>5</xdr:col>
      <xdr:colOff>304801</xdr:colOff>
      <xdr:row>35</xdr:row>
      <xdr:rowOff>152398</xdr:rowOff>
    </xdr:from>
    <xdr:to>
      <xdr:col>10</xdr:col>
      <xdr:colOff>424543</xdr:colOff>
      <xdr:row>46</xdr:row>
      <xdr:rowOff>163284</xdr:rowOff>
    </xdr:to>
    <xdr:graphicFrame macro="">
      <xdr:nvGraphicFramePr>
        <xdr:cNvPr id="76" name="Chart 75">
          <a:extLst>
            <a:ext uri="{FF2B5EF4-FFF2-40B4-BE49-F238E27FC236}">
              <a16:creationId xmlns:a16="http://schemas.microsoft.com/office/drawing/2014/main" id="{E53A7480-C75E-4477-B3CB-51AB527AC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587829</xdr:colOff>
      <xdr:row>33</xdr:row>
      <xdr:rowOff>10886</xdr:rowOff>
    </xdr:from>
    <xdr:to>
      <xdr:col>9</xdr:col>
      <xdr:colOff>413657</xdr:colOff>
      <xdr:row>35</xdr:row>
      <xdr:rowOff>0</xdr:rowOff>
    </xdr:to>
    <xdr:sp macro="" textlink="">
      <xdr:nvSpPr>
        <xdr:cNvPr id="106" name="TextBox 105">
          <a:extLst>
            <a:ext uri="{FF2B5EF4-FFF2-40B4-BE49-F238E27FC236}">
              <a16:creationId xmlns:a16="http://schemas.microsoft.com/office/drawing/2014/main" id="{12A7FD7C-05AC-49F5-8026-21535A87A0D7}"/>
            </a:ext>
          </a:extLst>
        </xdr:cNvPr>
        <xdr:cNvSpPr txBox="1"/>
      </xdr:nvSpPr>
      <xdr:spPr>
        <a:xfrm>
          <a:off x="3026229" y="6117772"/>
          <a:ext cx="2873828"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mn-lt"/>
            </a:rPr>
            <a:t>Depatment</a:t>
          </a:r>
          <a:r>
            <a:rPr lang="en-US" sz="1600" b="1" baseline="0">
              <a:solidFill>
                <a:schemeClr val="tx1"/>
              </a:solidFill>
              <a:latin typeface="+mn-lt"/>
            </a:rPr>
            <a:t> wise Attrition</a:t>
          </a:r>
          <a:endParaRPr lang="en-AS" sz="1600" b="1">
            <a:solidFill>
              <a:schemeClr val="tx1"/>
            </a:solidFill>
            <a:latin typeface="+mn-lt"/>
          </a:endParaRPr>
        </a:p>
      </xdr:txBody>
    </xdr:sp>
    <xdr:clientData/>
  </xdr:twoCellAnchor>
  <xdr:twoCellAnchor>
    <xdr:from>
      <xdr:col>11</xdr:col>
      <xdr:colOff>293915</xdr:colOff>
      <xdr:row>35</xdr:row>
      <xdr:rowOff>141513</xdr:rowOff>
    </xdr:from>
    <xdr:to>
      <xdr:col>17</xdr:col>
      <xdr:colOff>97971</xdr:colOff>
      <xdr:row>46</xdr:row>
      <xdr:rowOff>-1</xdr:rowOff>
    </xdr:to>
    <xdr:graphicFrame macro="">
      <xdr:nvGraphicFramePr>
        <xdr:cNvPr id="107" name="Chart 106">
          <a:extLst>
            <a:ext uri="{FF2B5EF4-FFF2-40B4-BE49-F238E27FC236}">
              <a16:creationId xmlns:a16="http://schemas.microsoft.com/office/drawing/2014/main" id="{1C1C5CA6-9FC0-415D-82B9-CAD420244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346363</xdr:colOff>
      <xdr:row>33</xdr:row>
      <xdr:rowOff>2968</xdr:rowOff>
    </xdr:from>
    <xdr:to>
      <xdr:col>16</xdr:col>
      <xdr:colOff>172191</xdr:colOff>
      <xdr:row>34</xdr:row>
      <xdr:rowOff>177139</xdr:rowOff>
    </xdr:to>
    <xdr:sp macro="" textlink="">
      <xdr:nvSpPr>
        <xdr:cNvPr id="108" name="TextBox 107">
          <a:extLst>
            <a:ext uri="{FF2B5EF4-FFF2-40B4-BE49-F238E27FC236}">
              <a16:creationId xmlns:a16="http://schemas.microsoft.com/office/drawing/2014/main" id="{FB7D61BE-E379-4B9C-9DEE-675E0C0DDFF1}"/>
            </a:ext>
          </a:extLst>
        </xdr:cNvPr>
        <xdr:cNvSpPr txBox="1"/>
      </xdr:nvSpPr>
      <xdr:spPr>
        <a:xfrm>
          <a:off x="7051963" y="6109854"/>
          <a:ext cx="2873828"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mn-lt"/>
            </a:rPr>
            <a:t>Age by Age </a:t>
          </a:r>
          <a:r>
            <a:rPr lang="en-US" sz="1600" b="1" baseline="0">
              <a:solidFill>
                <a:schemeClr val="tx1"/>
              </a:solidFill>
              <a:latin typeface="+mn-lt"/>
            </a:rPr>
            <a:t> Group</a:t>
          </a:r>
          <a:endParaRPr lang="en-AS" sz="1600" b="1">
            <a:solidFill>
              <a:schemeClr val="tx1"/>
            </a:solidFill>
            <a:latin typeface="+mn-lt"/>
          </a:endParaRPr>
        </a:p>
      </xdr:txBody>
    </xdr:sp>
    <xdr:clientData/>
  </xdr:twoCellAnchor>
  <xdr:twoCellAnchor>
    <xdr:from>
      <xdr:col>17</xdr:col>
      <xdr:colOff>283028</xdr:colOff>
      <xdr:row>35</xdr:row>
      <xdr:rowOff>141513</xdr:rowOff>
    </xdr:from>
    <xdr:to>
      <xdr:col>22</xdr:col>
      <xdr:colOff>54428</xdr:colOff>
      <xdr:row>45</xdr:row>
      <xdr:rowOff>32657</xdr:rowOff>
    </xdr:to>
    <mc:AlternateContent xmlns:mc="http://schemas.openxmlformats.org/markup-compatibility/2006">
      <mc:Choice xmlns:cx1="http://schemas.microsoft.com/office/drawing/2015/9/8/chartex" Requires="cx1">
        <xdr:graphicFrame macro="">
          <xdr:nvGraphicFramePr>
            <xdr:cNvPr id="117" name="Chart 116">
              <a:extLst>
                <a:ext uri="{FF2B5EF4-FFF2-40B4-BE49-F238E27FC236}">
                  <a16:creationId xmlns:a16="http://schemas.microsoft.com/office/drawing/2014/main" id="{BAEB6F20-3BC1-45A5-A20A-1F16071E66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646228" y="6542313"/>
              <a:ext cx="2819400" cy="1719944"/>
            </a:xfrm>
            <a:prstGeom prst="rect">
              <a:avLst/>
            </a:prstGeom>
            <a:solidFill>
              <a:prstClr val="white"/>
            </a:solidFill>
            <a:ln w="1">
              <a:solidFill>
                <a:prstClr val="green"/>
              </a:solidFill>
            </a:ln>
          </xdr:spPr>
          <xdr:txBody>
            <a:bodyPr vertOverflow="clip" horzOverflow="clip"/>
            <a:lstStyle/>
            <a:p>
              <a:r>
                <a:rPr lang="en-A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291934</xdr:colOff>
      <xdr:row>32</xdr:row>
      <xdr:rowOff>177139</xdr:rowOff>
    </xdr:from>
    <xdr:to>
      <xdr:col>22</xdr:col>
      <xdr:colOff>117762</xdr:colOff>
      <xdr:row>34</xdr:row>
      <xdr:rowOff>166253</xdr:rowOff>
    </xdr:to>
    <xdr:sp macro="" textlink="">
      <xdr:nvSpPr>
        <xdr:cNvPr id="119" name="TextBox 118">
          <a:extLst>
            <a:ext uri="{FF2B5EF4-FFF2-40B4-BE49-F238E27FC236}">
              <a16:creationId xmlns:a16="http://schemas.microsoft.com/office/drawing/2014/main" id="{7D2EFCE5-9C2D-4BEE-91AF-C9151DFD3E41}"/>
            </a:ext>
          </a:extLst>
        </xdr:cNvPr>
        <xdr:cNvSpPr txBox="1"/>
      </xdr:nvSpPr>
      <xdr:spPr>
        <a:xfrm>
          <a:off x="10655134" y="6098968"/>
          <a:ext cx="2873828"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mn-lt"/>
            </a:rPr>
            <a:t>Attrition</a:t>
          </a:r>
          <a:r>
            <a:rPr lang="en-US" sz="1600" b="1" baseline="0">
              <a:solidFill>
                <a:schemeClr val="tx1"/>
              </a:solidFill>
              <a:latin typeface="+mn-lt"/>
            </a:rPr>
            <a:t> by Marital Status</a:t>
          </a:r>
          <a:endParaRPr lang="en-AS" sz="1600" b="1">
            <a:solidFill>
              <a:schemeClr val="tx1"/>
            </a:solidFill>
            <a:latin typeface="+mn-lt"/>
          </a:endParaRPr>
        </a:p>
      </xdr:txBody>
    </xdr:sp>
    <xdr:clientData/>
  </xdr:twoCellAnchor>
  <xdr:twoCellAnchor editAs="oneCell">
    <xdr:from>
      <xdr:col>25</xdr:col>
      <xdr:colOff>124101</xdr:colOff>
      <xdr:row>34</xdr:row>
      <xdr:rowOff>87084</xdr:rowOff>
    </xdr:from>
    <xdr:to>
      <xdr:col>26</xdr:col>
      <xdr:colOff>402773</xdr:colOff>
      <xdr:row>47</xdr:row>
      <xdr:rowOff>10885</xdr:rowOff>
    </xdr:to>
    <mc:AlternateContent xmlns:mc="http://schemas.openxmlformats.org/markup-compatibility/2006" xmlns:a14="http://schemas.microsoft.com/office/drawing/2010/main">
      <mc:Choice Requires="a14">
        <xdr:graphicFrame macro="">
          <xdr:nvGraphicFramePr>
            <xdr:cNvPr id="120" name="Department 1">
              <a:extLst>
                <a:ext uri="{FF2B5EF4-FFF2-40B4-BE49-F238E27FC236}">
                  <a16:creationId xmlns:a16="http://schemas.microsoft.com/office/drawing/2014/main" id="{A079AF73-9A31-4FAE-BE7C-9CB876959EA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364101" y="6379027"/>
              <a:ext cx="888272" cy="2329544"/>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174172</xdr:colOff>
      <xdr:row>34</xdr:row>
      <xdr:rowOff>91439</xdr:rowOff>
    </xdr:from>
    <xdr:to>
      <xdr:col>25</xdr:col>
      <xdr:colOff>100150</xdr:colOff>
      <xdr:row>47</xdr:row>
      <xdr:rowOff>10884</xdr:rowOff>
    </xdr:to>
    <mc:AlternateContent xmlns:mc="http://schemas.openxmlformats.org/markup-compatibility/2006" xmlns:a14="http://schemas.microsoft.com/office/drawing/2010/main">
      <mc:Choice Requires="a14">
        <xdr:graphicFrame macro="">
          <xdr:nvGraphicFramePr>
            <xdr:cNvPr id="121" name="Education Field 3">
              <a:extLst>
                <a:ext uri="{FF2B5EF4-FFF2-40B4-BE49-F238E27FC236}">
                  <a16:creationId xmlns:a16="http://schemas.microsoft.com/office/drawing/2014/main" id="{6B8CABCD-E30E-4C9F-8A33-5186340B0899}"/>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585372" y="6383382"/>
              <a:ext cx="1754778" cy="2325188"/>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359228</xdr:colOff>
      <xdr:row>20</xdr:row>
      <xdr:rowOff>54429</xdr:rowOff>
    </xdr:from>
    <xdr:to>
      <xdr:col>26</xdr:col>
      <xdr:colOff>348342</xdr:colOff>
      <xdr:row>32</xdr:row>
      <xdr:rowOff>32657</xdr:rowOff>
    </xdr:to>
    <mc:AlternateContent xmlns:mc="http://schemas.openxmlformats.org/markup-compatibility/2006">
      <mc:Choice xmlns:cx1="http://schemas.microsoft.com/office/drawing/2015/9/8/chartex" Requires="cx1">
        <xdr:graphicFrame macro="">
          <xdr:nvGraphicFramePr>
            <xdr:cNvPr id="122" name="Chart 121">
              <a:extLst>
                <a:ext uri="{FF2B5EF4-FFF2-40B4-BE49-F238E27FC236}">
                  <a16:creationId xmlns:a16="http://schemas.microsoft.com/office/drawing/2014/main" id="{48F59E1F-1F75-4D49-94AC-EE9F1578C1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1941628" y="3712029"/>
              <a:ext cx="4256314" cy="2172788"/>
            </a:xfrm>
            <a:prstGeom prst="rect">
              <a:avLst/>
            </a:prstGeom>
            <a:solidFill>
              <a:prstClr val="white"/>
            </a:solidFill>
            <a:ln w="1">
              <a:solidFill>
                <a:prstClr val="green"/>
              </a:solidFill>
            </a:ln>
          </xdr:spPr>
          <xdr:txBody>
            <a:bodyPr vertOverflow="clip" horzOverflow="clip"/>
            <a:lstStyle/>
            <a:p>
              <a:r>
                <a:rPr lang="en-A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65315</xdr:colOff>
      <xdr:row>33</xdr:row>
      <xdr:rowOff>-1</xdr:rowOff>
    </xdr:from>
    <xdr:to>
      <xdr:col>24</xdr:col>
      <xdr:colOff>457200</xdr:colOff>
      <xdr:row>34</xdr:row>
      <xdr:rowOff>163286</xdr:rowOff>
    </xdr:to>
    <xdr:sp macro="" textlink="">
      <xdr:nvSpPr>
        <xdr:cNvPr id="4" name="TextBox 3">
          <a:extLst>
            <a:ext uri="{FF2B5EF4-FFF2-40B4-BE49-F238E27FC236}">
              <a16:creationId xmlns:a16="http://schemas.microsoft.com/office/drawing/2014/main" id="{F4D72C51-AFDB-4BC6-81FA-D2770DCACECE}"/>
            </a:ext>
          </a:extLst>
        </xdr:cNvPr>
        <xdr:cNvSpPr txBox="1"/>
      </xdr:nvSpPr>
      <xdr:spPr>
        <a:xfrm>
          <a:off x="13476515" y="6106885"/>
          <a:ext cx="1611085" cy="348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Education Field </a:t>
          </a:r>
          <a:endParaRPr lang="en-AS" sz="1400" b="1"/>
        </a:p>
      </xdr:txBody>
    </xdr:sp>
    <xdr:clientData/>
  </xdr:twoCellAnchor>
  <xdr:twoCellAnchor>
    <xdr:from>
      <xdr:col>24</xdr:col>
      <xdr:colOff>291934</xdr:colOff>
      <xdr:row>33</xdr:row>
      <xdr:rowOff>2968</xdr:rowOff>
    </xdr:from>
    <xdr:to>
      <xdr:col>27</xdr:col>
      <xdr:colOff>74219</xdr:colOff>
      <xdr:row>34</xdr:row>
      <xdr:rowOff>166255</xdr:rowOff>
    </xdr:to>
    <xdr:sp macro="" textlink="">
      <xdr:nvSpPr>
        <xdr:cNvPr id="123" name="TextBox 122">
          <a:extLst>
            <a:ext uri="{FF2B5EF4-FFF2-40B4-BE49-F238E27FC236}">
              <a16:creationId xmlns:a16="http://schemas.microsoft.com/office/drawing/2014/main" id="{F282B1F6-3CF4-477C-9D0D-AD669FA0EA67}"/>
            </a:ext>
          </a:extLst>
        </xdr:cNvPr>
        <xdr:cNvSpPr txBox="1"/>
      </xdr:nvSpPr>
      <xdr:spPr>
        <a:xfrm>
          <a:off x="14922334" y="6109854"/>
          <a:ext cx="1611085" cy="348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Department</a:t>
          </a:r>
          <a:endParaRPr lang="en-AS" sz="1400" b="1"/>
        </a:p>
      </xdr:txBody>
    </xdr:sp>
    <xdr:clientData/>
  </xdr:twoCellAnchor>
  <xdr:twoCellAnchor editAs="oneCell">
    <xdr:from>
      <xdr:col>5</xdr:col>
      <xdr:colOff>55417</xdr:colOff>
      <xdr:row>8</xdr:row>
      <xdr:rowOff>27708</xdr:rowOff>
    </xdr:from>
    <xdr:to>
      <xdr:col>6</xdr:col>
      <xdr:colOff>41562</xdr:colOff>
      <xdr:row>11</xdr:row>
      <xdr:rowOff>83126</xdr:rowOff>
    </xdr:to>
    <xdr:pic>
      <xdr:nvPicPr>
        <xdr:cNvPr id="113" name="Picture 112">
          <a:extLst>
            <a:ext uri="{FF2B5EF4-FFF2-40B4-BE49-F238E27FC236}">
              <a16:creationId xmlns:a16="http://schemas.microsoft.com/office/drawing/2014/main" id="{E4450C42-B5C6-43C3-83B5-56D5C1D7623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103417" y="1468581"/>
          <a:ext cx="595745" cy="595745"/>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0.3175</cdr:x>
      <cdr:y>0.38176</cdr:y>
    </cdr:from>
    <cdr:to>
      <cdr:x>0.61232</cdr:x>
      <cdr:y>0.53295</cdr:y>
    </cdr:to>
    <cdr:sp macro="" textlink="">
      <cdr:nvSpPr>
        <cdr:cNvPr id="2" name="TextBox 1">
          <a:extLst xmlns:a="http://schemas.openxmlformats.org/drawingml/2006/main">
            <a:ext uri="{FF2B5EF4-FFF2-40B4-BE49-F238E27FC236}">
              <a16:creationId xmlns:a16="http://schemas.microsoft.com/office/drawing/2014/main" id="{0226EDDF-E180-4EFB-814E-B1A1701D6720}"/>
            </a:ext>
          </a:extLst>
        </cdr:cNvPr>
        <cdr:cNvSpPr txBox="1"/>
      </cdr:nvSpPr>
      <cdr:spPr>
        <a:xfrm xmlns:a="http://schemas.openxmlformats.org/drawingml/2006/main">
          <a:off x="457202" y="549730"/>
          <a:ext cx="424543" cy="2177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AS" sz="1100"/>
        </a:p>
      </cdr:txBody>
    </cdr:sp>
  </cdr:relSizeAnchor>
  <cdr:relSizeAnchor xmlns:cdr="http://schemas.openxmlformats.org/drawingml/2006/chartDrawing">
    <cdr:from>
      <cdr:x>0.33262</cdr:x>
      <cdr:y>0.38932</cdr:y>
    </cdr:from>
    <cdr:to>
      <cdr:x>0.68036</cdr:x>
      <cdr:y>0.55563</cdr:y>
    </cdr:to>
    <cdr:sp macro="" textlink="Gender!$B$9">
      <cdr:nvSpPr>
        <cdr:cNvPr id="3" name="TextBox 2">
          <a:extLst xmlns:a="http://schemas.openxmlformats.org/drawingml/2006/main">
            <a:ext uri="{FF2B5EF4-FFF2-40B4-BE49-F238E27FC236}">
              <a16:creationId xmlns:a16="http://schemas.microsoft.com/office/drawing/2014/main" id="{84D46CD8-6C08-4D26-A5C6-377F4283BA7C}"/>
            </a:ext>
          </a:extLst>
        </cdr:cNvPr>
        <cdr:cNvSpPr txBox="1"/>
      </cdr:nvSpPr>
      <cdr:spPr>
        <a:xfrm xmlns:a="http://schemas.openxmlformats.org/drawingml/2006/main">
          <a:off x="478974" y="560616"/>
          <a:ext cx="500743" cy="23948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7C1E601-2267-40FF-B48B-43766FE7B57E}" type="TxLink">
            <a:rPr lang="en-US" sz="1600" b="1" i="0" u="none" strike="noStrike">
              <a:solidFill>
                <a:srgbClr val="002060"/>
              </a:solidFill>
              <a:latin typeface="Calibri"/>
              <a:cs typeface="Led Italic Font" panose="02010400000000000000" pitchFamily="2" charset="-78"/>
            </a:rPr>
            <a:pPr algn="ctr"/>
            <a:t>588</a:t>
          </a:fld>
          <a:endParaRPr lang="en-AS" sz="1600" b="1">
            <a:solidFill>
              <a:srgbClr val="002060"/>
            </a:solidFill>
            <a:cs typeface="Led Italic Font" panose="02010400000000000000" pitchFamily="2" charset="-78"/>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0.24946</cdr:x>
      <cdr:y>0.35908</cdr:y>
    </cdr:from>
    <cdr:to>
      <cdr:x>0.75595</cdr:x>
      <cdr:y>0.57831</cdr:y>
    </cdr:to>
    <cdr:sp macro="" textlink="Gender!$B$10">
      <cdr:nvSpPr>
        <cdr:cNvPr id="2" name="TextBox 1">
          <a:extLst xmlns:a="http://schemas.openxmlformats.org/drawingml/2006/main">
            <a:ext uri="{FF2B5EF4-FFF2-40B4-BE49-F238E27FC236}">
              <a16:creationId xmlns:a16="http://schemas.microsoft.com/office/drawing/2014/main" id="{2EF5EE68-94CD-47B8-8E05-C92C5ADE6BBD}"/>
            </a:ext>
          </a:extLst>
        </cdr:cNvPr>
        <cdr:cNvSpPr txBox="1"/>
      </cdr:nvSpPr>
      <cdr:spPr>
        <a:xfrm xmlns:a="http://schemas.openxmlformats.org/drawingml/2006/main">
          <a:off x="359228" y="517074"/>
          <a:ext cx="729343" cy="31568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48250930-8758-4662-A658-DFDFBDCB3145}" type="TxLink">
            <a:rPr lang="en-US" sz="1600" b="1" i="0" u="none" strike="noStrike">
              <a:solidFill>
                <a:srgbClr val="002060"/>
              </a:solidFill>
              <a:latin typeface="Calibri"/>
              <a:cs typeface="Led Italic Font" panose="02010400000000000000" pitchFamily="2" charset="-78"/>
            </a:rPr>
            <a:pPr algn="ctr"/>
            <a:t>0</a:t>
          </a:fld>
          <a:endParaRPr lang="en-AS" sz="1600" b="1">
            <a:solidFill>
              <a:srgbClr val="002060"/>
            </a:solidFill>
            <a:cs typeface="Led Italic Font" panose="02010400000000000000" pitchFamily="2" charset="-78"/>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175260</xdr:colOff>
      <xdr:row>3</xdr:row>
      <xdr:rowOff>152400</xdr:rowOff>
    </xdr:from>
    <xdr:to>
      <xdr:col>6</xdr:col>
      <xdr:colOff>213360</xdr:colOff>
      <xdr:row>7</xdr:row>
      <xdr:rowOff>76200</xdr:rowOff>
    </xdr:to>
    <xdr:graphicFrame macro="">
      <xdr:nvGraphicFramePr>
        <xdr:cNvPr id="2" name="Chart 1">
          <a:extLst>
            <a:ext uri="{FF2B5EF4-FFF2-40B4-BE49-F238E27FC236}">
              <a16:creationId xmlns:a16="http://schemas.microsoft.com/office/drawing/2014/main" id="{99BB996E-9EFB-48F5-9EC2-81D839A44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167640</xdr:colOff>
      <xdr:row>3</xdr:row>
      <xdr:rowOff>60961</xdr:rowOff>
    </xdr:from>
    <xdr:to>
      <xdr:col>10</xdr:col>
      <xdr:colOff>167640</xdr:colOff>
      <xdr:row>8</xdr:row>
      <xdr:rowOff>91441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270F0CF4-21BE-4F43-B3A0-AAEA241EBAF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71160" y="609601"/>
              <a:ext cx="1828800" cy="94488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525780</xdr:colOff>
      <xdr:row>13</xdr:row>
      <xdr:rowOff>129540</xdr:rowOff>
    </xdr:from>
    <xdr:to>
      <xdr:col>4</xdr:col>
      <xdr:colOff>304800</xdr:colOff>
      <xdr:row>16</xdr:row>
      <xdr:rowOff>53340</xdr:rowOff>
    </xdr:to>
    <xdr:graphicFrame macro="">
      <xdr:nvGraphicFramePr>
        <xdr:cNvPr id="4" name="Chart 3">
          <a:extLst>
            <a:ext uri="{FF2B5EF4-FFF2-40B4-BE49-F238E27FC236}">
              <a16:creationId xmlns:a16="http://schemas.microsoft.com/office/drawing/2014/main" id="{3F5CA167-3FB2-4AF7-B91F-FBEFD493D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274320</xdr:colOff>
      <xdr:row>2</xdr:row>
      <xdr:rowOff>7620</xdr:rowOff>
    </xdr:from>
    <xdr:to>
      <xdr:col>16</xdr:col>
      <xdr:colOff>274320</xdr:colOff>
      <xdr:row>15</xdr:row>
      <xdr:rowOff>97155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BC13FD45-C682-4989-89B1-BCDC126273CF}"/>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235440" y="373380"/>
              <a:ext cx="1828800" cy="246697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182880</xdr:colOff>
      <xdr:row>18</xdr:row>
      <xdr:rowOff>129540</xdr:rowOff>
    </xdr:from>
    <xdr:to>
      <xdr:col>6</xdr:col>
      <xdr:colOff>137160</xdr:colOff>
      <xdr:row>21</xdr:row>
      <xdr:rowOff>144780</xdr:rowOff>
    </xdr:to>
    <xdr:pic>
      <xdr:nvPicPr>
        <xdr:cNvPr id="11" name="Picture 10">
          <a:extLst>
            <a:ext uri="{FF2B5EF4-FFF2-40B4-BE49-F238E27FC236}">
              <a16:creationId xmlns:a16="http://schemas.microsoft.com/office/drawing/2014/main" id="{01598D87-76C8-4820-A8CF-2B433BDA7A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267200" y="3421380"/>
          <a:ext cx="563880" cy="563880"/>
        </a:xfrm>
        <a:prstGeom prst="rect">
          <a:avLst/>
        </a:prstGeom>
      </xdr:spPr>
    </xdr:pic>
    <xdr:clientData/>
  </xdr:twoCellAnchor>
  <xdr:twoCellAnchor editAs="oneCell">
    <xdr:from>
      <xdr:col>6</xdr:col>
      <xdr:colOff>342900</xdr:colOff>
      <xdr:row>18</xdr:row>
      <xdr:rowOff>137160</xdr:rowOff>
    </xdr:from>
    <xdr:to>
      <xdr:col>7</xdr:col>
      <xdr:colOff>236220</xdr:colOff>
      <xdr:row>21</xdr:row>
      <xdr:rowOff>91440</xdr:rowOff>
    </xdr:to>
    <xdr:pic>
      <xdr:nvPicPr>
        <xdr:cNvPr id="13" name="Picture 12">
          <a:extLst>
            <a:ext uri="{FF2B5EF4-FFF2-40B4-BE49-F238E27FC236}">
              <a16:creationId xmlns:a16="http://schemas.microsoft.com/office/drawing/2014/main" id="{B7D8FCD3-74EA-45F0-A439-0B6B3827CC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5036820" y="3429000"/>
          <a:ext cx="502920" cy="502920"/>
        </a:xfrm>
        <a:prstGeom prst="rect">
          <a:avLst/>
        </a:prstGeom>
      </xdr:spPr>
    </xdr:pic>
    <xdr:clientData/>
  </xdr:twoCellAnchor>
  <xdr:twoCellAnchor editAs="oneCell">
    <xdr:from>
      <xdr:col>9</xdr:col>
      <xdr:colOff>304800</xdr:colOff>
      <xdr:row>17</xdr:row>
      <xdr:rowOff>45720</xdr:rowOff>
    </xdr:from>
    <xdr:to>
      <xdr:col>10</xdr:col>
      <xdr:colOff>182880</xdr:colOff>
      <xdr:row>19</xdr:row>
      <xdr:rowOff>167640</xdr:rowOff>
    </xdr:to>
    <xdr:pic>
      <xdr:nvPicPr>
        <xdr:cNvPr id="16" name="Picture 15">
          <a:extLst>
            <a:ext uri="{FF2B5EF4-FFF2-40B4-BE49-F238E27FC236}">
              <a16:creationId xmlns:a16="http://schemas.microsoft.com/office/drawing/2014/main" id="{12F0B22F-58D0-45F5-B2B3-159E4B6B695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827520" y="3154680"/>
          <a:ext cx="487680" cy="4876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182880</xdr:colOff>
      <xdr:row>6</xdr:row>
      <xdr:rowOff>0</xdr:rowOff>
    </xdr:from>
    <xdr:to>
      <xdr:col>10</xdr:col>
      <xdr:colOff>182880</xdr:colOff>
      <xdr:row>19</xdr:row>
      <xdr:rowOff>89535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E18983DC-64CB-4956-BD61-C6E5161ECD0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669280" y="1097280"/>
              <a:ext cx="1828800" cy="246697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137160</xdr:colOff>
      <xdr:row>6</xdr:row>
      <xdr:rowOff>15240</xdr:rowOff>
    </xdr:from>
    <xdr:to>
      <xdr:col>13</xdr:col>
      <xdr:colOff>137160</xdr:colOff>
      <xdr:row>19</xdr:row>
      <xdr:rowOff>104775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BECAE7B0-05C1-40DD-8DE4-EBA39306009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452360" y="1112520"/>
              <a:ext cx="1828800" cy="246697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754380</xdr:colOff>
      <xdr:row>17</xdr:row>
      <xdr:rowOff>53340</xdr:rowOff>
    </xdr:from>
    <xdr:to>
      <xdr:col>1</xdr:col>
      <xdr:colOff>1493520</xdr:colOff>
      <xdr:row>23</xdr:row>
      <xdr:rowOff>144780</xdr:rowOff>
    </xdr:to>
    <xdr:graphicFrame macro="">
      <xdr:nvGraphicFramePr>
        <xdr:cNvPr id="4" name="Chart 3">
          <a:extLst>
            <a:ext uri="{FF2B5EF4-FFF2-40B4-BE49-F238E27FC236}">
              <a16:creationId xmlns:a16="http://schemas.microsoft.com/office/drawing/2014/main" id="{AF829BAE-3A4B-4963-A0DE-411253AAA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396240</xdr:colOff>
      <xdr:row>5</xdr:row>
      <xdr:rowOff>91440</xdr:rowOff>
    </xdr:from>
    <xdr:to>
      <xdr:col>9</xdr:col>
      <xdr:colOff>190500</xdr:colOff>
      <xdr:row>16</xdr:row>
      <xdr:rowOff>22860</xdr:rowOff>
    </xdr:to>
    <xdr:graphicFrame macro="">
      <xdr:nvGraphicFramePr>
        <xdr:cNvPr id="2" name="Chart 1">
          <a:extLst>
            <a:ext uri="{FF2B5EF4-FFF2-40B4-BE49-F238E27FC236}">
              <a16:creationId xmlns:a16="http://schemas.microsoft.com/office/drawing/2014/main" id="{BBFEA990-690C-4175-BD64-0A818E8BB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464820</xdr:colOff>
      <xdr:row>4</xdr:row>
      <xdr:rowOff>15241</xdr:rowOff>
    </xdr:from>
    <xdr:to>
      <xdr:col>17</xdr:col>
      <xdr:colOff>464820</xdr:colOff>
      <xdr:row>10</xdr:row>
      <xdr:rowOff>53341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E401B15-2478-4F19-99F2-C111F84BCD0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439400" y="746761"/>
              <a:ext cx="1828800" cy="113538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525780</xdr:colOff>
      <xdr:row>4</xdr:row>
      <xdr:rowOff>30481</xdr:rowOff>
    </xdr:from>
    <xdr:to>
      <xdr:col>13</xdr:col>
      <xdr:colOff>571500</xdr:colOff>
      <xdr:row>14</xdr:row>
      <xdr:rowOff>137161</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E324474F-53AD-415D-968F-99FA42CE7AF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061960" y="762001"/>
              <a:ext cx="1874520" cy="193548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8</xdr:col>
      <xdr:colOff>388620</xdr:colOff>
      <xdr:row>6</xdr:row>
      <xdr:rowOff>0</xdr:rowOff>
    </xdr:from>
    <xdr:to>
      <xdr:col>13</xdr:col>
      <xdr:colOff>259080</xdr:colOff>
      <xdr:row>15</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8639154-99B7-447D-8068-B3F3847BEC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45780" y="1097280"/>
              <a:ext cx="2918460" cy="1645920"/>
            </a:xfrm>
            <a:prstGeom prst="rect">
              <a:avLst/>
            </a:prstGeom>
            <a:solidFill>
              <a:prstClr val="white"/>
            </a:solidFill>
            <a:ln w="1">
              <a:solidFill>
                <a:prstClr val="green"/>
              </a:solidFill>
            </a:ln>
          </xdr:spPr>
          <xdr:txBody>
            <a:bodyPr vertOverflow="clip" horzOverflow="clip"/>
            <a:lstStyle/>
            <a:p>
              <a:r>
                <a:rPr lang="en-A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487680</xdr:colOff>
      <xdr:row>5</xdr:row>
      <xdr:rowOff>179070</xdr:rowOff>
    </xdr:from>
    <xdr:to>
      <xdr:col>7</xdr:col>
      <xdr:colOff>15240</xdr:colOff>
      <xdr:row>14</xdr:row>
      <xdr:rowOff>152400</xdr:rowOff>
    </xdr:to>
    <xdr:graphicFrame macro="">
      <xdr:nvGraphicFramePr>
        <xdr:cNvPr id="2" name="Chart 1">
          <a:extLst>
            <a:ext uri="{FF2B5EF4-FFF2-40B4-BE49-F238E27FC236}">
              <a16:creationId xmlns:a16="http://schemas.microsoft.com/office/drawing/2014/main" id="{EB45E735-A378-499F-A702-EAC96D096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563880</xdr:colOff>
      <xdr:row>7</xdr:row>
      <xdr:rowOff>38100</xdr:rowOff>
    </xdr:from>
    <xdr:to>
      <xdr:col>9</xdr:col>
      <xdr:colOff>121920</xdr:colOff>
      <xdr:row>15</xdr:row>
      <xdr:rowOff>121920</xdr:rowOff>
    </xdr:to>
    <xdr:graphicFrame macro="">
      <xdr:nvGraphicFramePr>
        <xdr:cNvPr id="2" name="Chart 1">
          <a:extLst>
            <a:ext uri="{FF2B5EF4-FFF2-40B4-BE49-F238E27FC236}">
              <a16:creationId xmlns:a16="http://schemas.microsoft.com/office/drawing/2014/main" id="{D6488D28-7EC7-42F4-84E5-B63E9054D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68580</xdr:colOff>
      <xdr:row>6</xdr:row>
      <xdr:rowOff>137160</xdr:rowOff>
    </xdr:from>
    <xdr:to>
      <xdr:col>11</xdr:col>
      <xdr:colOff>144780</xdr:colOff>
      <xdr:row>13</xdr:row>
      <xdr:rowOff>15240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1575331-7E94-4159-ACFE-F1FF4DC38A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03520" y="1234440"/>
              <a:ext cx="2514600" cy="1158240"/>
            </a:xfrm>
            <a:prstGeom prst="rect">
              <a:avLst/>
            </a:prstGeom>
            <a:solidFill>
              <a:prstClr val="white"/>
            </a:solidFill>
            <a:ln w="1">
              <a:solidFill>
                <a:prstClr val="green"/>
              </a:solidFill>
            </a:ln>
          </xdr:spPr>
          <xdr:txBody>
            <a:bodyPr vertOverflow="clip" horzOverflow="clip"/>
            <a:lstStyle/>
            <a:p>
              <a:r>
                <a:rPr lang="en-A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ali mohamed" refreshedDate="45125.688711805553" createdVersion="7" refreshedVersion="7" minRefreshableVersion="3" recordCount="1470" xr:uid="{0C4EF0F3-F838-48C2-99C5-C9464A4BA738}">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07639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1ACFB-ACC3-408E-ADD2-C894B85C7243}" name="KP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9"/>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FFAFEA-DFDD-4ACC-85EE-46E18DCB9F6F}" name="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D216D0-A0DE-4776-B823-9A633EFAA22D}" name="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FAA23A-D19E-402B-9C92-916A76A3B506}" name="Education by iterre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3" count="1" selected="0">
            <x v="1"/>
          </reference>
        </references>
      </pivotArea>
    </chartFormat>
    <chartFormat chart="3" format="4">
      <pivotArea type="data" outline="0" fieldPosition="0">
        <references count="2">
          <reference field="4294967294" count="1" selected="0">
            <x v="0"/>
          </reference>
          <reference field="23" count="1" selected="0">
            <x v="0"/>
          </reference>
        </references>
      </pivotArea>
    </chartFormat>
    <chartFormat chart="3" format="5">
      <pivotArea type="data" outline="0" fieldPosition="0">
        <references count="2">
          <reference field="4294967294" count="1" selected="0">
            <x v="0"/>
          </reference>
          <reference field="23" count="1" selected="0">
            <x v="4"/>
          </reference>
        </references>
      </pivotArea>
    </chartFormat>
    <chartFormat chart="3" format="6">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B4E11D-F1B7-4E69-88A0-9EC1B0A15387}" name="Attrition by job"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7EF856-B0ED-40C4-93E1-2FCA0B497540}" name="Dept wise Atir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97C7B0-0988-48B6-84AD-549ADF4D1847}" name="Attrirtion by Age Grou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D7D90B-40E0-4A7E-92AC-F97641BBD535}" name="Maritial 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2E4537B-2FA1-48D5-9875-C3407171B648}" sourceName="Gender">
  <pivotTables>
    <pivotTable tabId="5" name="KPI"/>
  </pivotTables>
  <data>
    <tabular pivotCacheId="18076390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C1BFC63-0966-4442-9BE5-6CF6D7024147}" sourceName="Gender">
  <pivotTables>
    <pivotTable tabId="8" name="Rating"/>
  </pivotTables>
  <data>
    <tabular pivotCacheId="18076390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76908BE-0FF6-4682-A478-BC6EF53C805F}" sourceName="Gender">
  <pivotTables>
    <pivotTable tabId="9" name="Gender"/>
  </pivotTables>
  <data>
    <tabular pivotCacheId="1807639036">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73B79F1-94A5-4BF9-9A2D-CC05F565DE53}" sourceName="Department">
  <pivotTables>
    <pivotTable tabId="10" name="Education by iterretion"/>
    <pivotTable tabId="13" name="Attrirtion by Age Group"/>
    <pivotTable tabId="11" name="Attrition by job"/>
    <pivotTable tabId="12" name="Dept wise Atirition"/>
    <pivotTable tabId="9" name="Gender"/>
    <pivotTable tabId="5" name="KPI"/>
    <pivotTable tabId="16" name="Maritial Status"/>
    <pivotTable tabId="8" name="Rating"/>
  </pivotTables>
  <data>
    <tabular pivotCacheId="180763903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FF6E4353-3C88-4B6D-A702-231379CC3604}" sourceName="Education Field">
  <pivotTables>
    <pivotTable tabId="10" name="Education by iterretion"/>
    <pivotTable tabId="13" name="Attrirtion by Age Group"/>
    <pivotTable tabId="11" name="Attrition by job"/>
    <pivotTable tabId="12" name="Dept wise Atirition"/>
    <pivotTable tabId="9" name="Gender"/>
    <pivotTable tabId="5" name="KPI"/>
    <pivotTable tabId="16" name="Maritial Status"/>
    <pivotTable tabId="8" name="Rating"/>
  </pivotTables>
  <data>
    <tabular pivotCacheId="180763903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225CC8C-60E6-4E20-AFD3-0521EAB1B766}"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A7038CC-2010-4A3C-AD16-B5CE1D5264EF}" cache="Slicer_Gender2" caption="Gender" columnCount="2" style="Slicer Style 1" rowHeight="234950"/>
  <slicer name="Department 1" xr10:uid="{B0EFB26B-CEFA-468D-8240-7E1CC41BF75B}" cache="Slicer_Department" style="Slicer Style 1" rowHeight="234950"/>
  <slicer name="Education Field 3" xr10:uid="{70673A54-6635-4130-8A48-FEAA75991FF4}" cache="Slicer_Education_Field2"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DC57461-AFD8-4BE3-B0B5-3DA7561F3D68}" cache="Slicer_Gender1" caption="Gender" rowHeight="234950"/>
  <slicer name="Education Field" xr10:uid="{BDC0DA4F-2195-4D33-947A-78E24ED0F752}" cache="Slicer_Education_Field2"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9401805C-A0EF-49D1-A612-9FDD6A47E7D6}" cache="Slicer_Gender2" caption="Gender" rowHeight="234950"/>
  <slicer name="Education Field 1" xr10:uid="{42605FF0-1C2F-479C-A35B-434CFE7D41C8}" cache="Slicer_Education_Field2"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D544B55-960D-480E-BF16-9F8AD59F632D}" cache="Slicer_Department" caption="Department" rowHeight="234950"/>
  <slicer name="Education Field 2" xr10:uid="{478BA936-3EC4-4D0E-9BC0-6B7F248E38C9}" cache="Slicer_Education_Field2" caption="Education Fiel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6EC3A3-4BA5-4D22-BE9F-FA714AE9ABAE}" name="Table1" displayName="Table1" ref="A1:AR1471" totalsRowShown="0">
  <autoFilter ref="A1:AR1471" xr:uid="{0B6EC3A3-4BA5-4D22-BE9F-FA714AE9ABAE}"/>
  <tableColumns count="44">
    <tableColumn id="1" xr3:uid="{C9307AE8-EEE0-42E6-9685-4482BC4D139C}" name="Attrition"/>
    <tableColumn id="2" xr3:uid="{90F581EB-7DB5-41CA-B603-8AE3306D97A5}" name="Business Travel"/>
    <tableColumn id="3" xr3:uid="{DD64D3D0-EC86-437C-BA3C-151FD083DC34}" name="CF_age band"/>
    <tableColumn id="4" xr3:uid="{C0D828A6-DDB2-41F1-A458-817E9EC7E35F}" name="CF_attrition label"/>
    <tableColumn id="5" xr3:uid="{07B1EABC-680E-4A42-A93C-E9755B539DDF}" name="Department"/>
    <tableColumn id="6" xr3:uid="{39772E42-F384-4635-B447-13B409E4B892}" name="Education Field"/>
    <tableColumn id="7" xr3:uid="{E49F0CE7-AD0F-4982-B3BA-2CF564694675}" name="emp no"/>
    <tableColumn id="8" xr3:uid="{3A94D369-AFE7-4DF6-ACF9-693A83ACD5F7}" name="Employee Number"/>
    <tableColumn id="9" xr3:uid="{A3DF9CD6-D3F1-4BC6-9B0D-6289B442E9AE}" name="Gender"/>
    <tableColumn id="10" xr3:uid="{4A4D674B-27C7-4DDB-A9C4-D961ACC4BCE4}" name="Job Role"/>
    <tableColumn id="11" xr3:uid="{C9FDAF3A-7EE6-4BD0-89F0-4A60EA2D0D7B}" name="Marital Status"/>
    <tableColumn id="12" xr3:uid="{6AC16B94-8EE7-4649-AE13-5D0CCC80E306}" name="Over Time"/>
    <tableColumn id="13" xr3:uid="{3BEA8837-6414-41F5-B331-4CECE9EB754B}" name="Over18"/>
    <tableColumn id="14" xr3:uid="{9EDCB116-903F-48D8-9452-29A34B53E2B3}" name="Training Times Last Year"/>
    <tableColumn id="15" xr3:uid="{71D6A029-FAF0-4FD8-B59B-6E6552E685F7}" name="-2"/>
    <tableColumn id="16" xr3:uid="{DD3B7181-ABCF-4660-9967-430BB61D3611}" name="0"/>
    <tableColumn id="17" xr3:uid="{51B44E3C-C3E5-4EA9-95C4-47D6487A83D6}" name="Age"/>
    <tableColumn id="18" xr3:uid="{6F6DC69D-8AAC-48E4-BAB0-FA75EB966C62}" name="CF_attrition count"/>
    <tableColumn id="19" xr3:uid="{843C8B30-7037-438A-821B-B41D9EE5C531}" name="CF_attrition counts"/>
    <tableColumn id="20" xr3:uid="{CE7DDC7F-40A6-4972-B216-C661787E4295}" name="CF_attrition rate"/>
    <tableColumn id="21" xr3:uid="{CA226D24-4C02-4761-8DC7-670908B3E236}" name="CF_current Employee"/>
    <tableColumn id="22" xr3:uid="{A999DF3B-6A08-42F5-AAC2-99B811230CB6}" name="Daily Rate"/>
    <tableColumn id="23" xr3:uid="{1F433B11-73A7-418B-8415-1CEE13668DE6}" name="Distance From Home"/>
    <tableColumn id="24" xr3:uid="{6B709620-12CF-4CB2-8B0A-C38129858205}" name="Education"/>
    <tableColumn id="25" xr3:uid="{FD042742-D58A-42EE-BB04-E70A5232A9B7}" name="Employee Count"/>
    <tableColumn id="26" xr3:uid="{C09261FC-CC51-4784-835E-FE0ACF4F0139}" name="Environment Satisfaction"/>
    <tableColumn id="27" xr3:uid="{5FD17617-68DD-4145-94C9-4CF62FD99E20}" name="Hourly Rate"/>
    <tableColumn id="28" xr3:uid="{1A6F49B4-81FE-4683-BB58-12E42E8C77A0}" name="Job Involvement"/>
    <tableColumn id="29" xr3:uid="{6689D87F-EC56-4297-BE06-BEC5346CFA6A}" name="Job Level"/>
    <tableColumn id="30" xr3:uid="{6DE7A8BD-3514-419D-B3BB-F56F7ECF8C6A}" name="Job Satisfaction"/>
    <tableColumn id="31" xr3:uid="{192D825E-B533-4D40-947E-F419B1F1983B}" name="Monthly Income"/>
    <tableColumn id="32" xr3:uid="{6A1C2E2F-A8C7-449D-8FC9-5EB916433500}" name="Monthly Rate"/>
    <tableColumn id="33" xr3:uid="{E180634F-E968-47A2-B286-4E23E7732816}" name="Num Companies Worked"/>
    <tableColumn id="34" xr3:uid="{A52AFAFC-BE9B-436C-B162-B3B044B83460}" name="Percent Salary Hike"/>
    <tableColumn id="35" xr3:uid="{12E51901-A04C-4FCA-97FD-36475503227E}" name="Performance Rating"/>
    <tableColumn id="36" xr3:uid="{F61EBFF1-C436-4ED8-9A07-D1AE0D3FA202}" name="Relationship Satisfaction"/>
    <tableColumn id="37" xr3:uid="{5F6A8BC3-0309-4AE2-BFF2-3C1CA72B1816}" name="Standard Hours"/>
    <tableColumn id="38" xr3:uid="{EC874C4B-0A81-47A3-9D3F-B9AE448D2DEC}" name="Stock Option Level"/>
    <tableColumn id="39" xr3:uid="{D2E98457-1D79-4DF6-9FB2-B398C1874EDF}" name="Total Working Years"/>
    <tableColumn id="40" xr3:uid="{FA770864-0D8D-406D-B45E-498EF47E3588}" name="Work Life Balance"/>
    <tableColumn id="41" xr3:uid="{5B820F12-5F3C-4635-A996-37A8B436FF57}" name="Years At Company"/>
    <tableColumn id="42" xr3:uid="{CA425914-EC5D-4B9F-93EF-DCB3A54DC597}" name="Years In Current Role"/>
    <tableColumn id="43" xr3:uid="{2D9E3187-1C01-4732-8236-BC74EE5D5853}" name="Years Since Last Promotion"/>
    <tableColumn id="44" xr3:uid="{9C506068-D9A5-49B3-84DD-6CB6A0433FB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62FB8-53C2-4D32-B2D5-32C4D4528578}">
  <dimension ref="A3:E8"/>
  <sheetViews>
    <sheetView workbookViewId="0">
      <selection activeCell="C8" sqref="C8"/>
    </sheetView>
  </sheetViews>
  <sheetFormatPr defaultRowHeight="14.4" x14ac:dyDescent="0.3"/>
  <cols>
    <col min="1" max="1" width="24.77734375" bestFit="1" customWidth="1"/>
    <col min="2" max="2" width="22.88671875" bestFit="1" customWidth="1"/>
    <col min="3" max="3" width="13.88671875" bestFit="1" customWidth="1"/>
    <col min="4" max="4" width="15.77734375" bestFit="1" customWidth="1"/>
    <col min="5" max="5" width="12.44140625" customWidth="1"/>
  </cols>
  <sheetData>
    <row r="3" spans="1:5" x14ac:dyDescent="0.3">
      <c r="A3" t="s">
        <v>1556</v>
      </c>
      <c r="B3" t="s">
        <v>1557</v>
      </c>
      <c r="C3" t="s">
        <v>1558</v>
      </c>
    </row>
    <row r="4" spans="1:5" x14ac:dyDescent="0.3">
      <c r="A4" s="3">
        <v>1470</v>
      </c>
      <c r="B4" s="3">
        <v>237</v>
      </c>
      <c r="C4" s="3">
        <v>36.923809523809524</v>
      </c>
    </row>
    <row r="7" spans="1:5" x14ac:dyDescent="0.3">
      <c r="A7" t="s">
        <v>1559</v>
      </c>
      <c r="B7" t="s">
        <v>1560</v>
      </c>
      <c r="C7" t="s">
        <v>1561</v>
      </c>
      <c r="D7" t="s">
        <v>1562</v>
      </c>
      <c r="E7" t="s">
        <v>1563</v>
      </c>
    </row>
    <row r="8" spans="1:5" x14ac:dyDescent="0.3">
      <c r="A8">
        <f>GETPIVOTDATA("Count of Employee Number",$A$3)</f>
        <v>1470</v>
      </c>
      <c r="B8">
        <f>GETPIVOTDATA("Sum of CF_attrition count",$A$3)</f>
        <v>237</v>
      </c>
      <c r="C8" s="7">
        <f>GETPIVOTDATA("Average of Age",$A$3)</f>
        <v>36.923809523809524</v>
      </c>
      <c r="D8">
        <f>A8-B8</f>
        <v>1233</v>
      </c>
      <c r="E8" s="4">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BA18-0829-4579-9E1C-259EFD547F49}">
  <dimension ref="A1"/>
  <sheetViews>
    <sheetView showGridLines="0" tabSelected="1" zoomScale="55" zoomScaleNormal="55" workbookViewId="0">
      <selection activeCell="P51" sqref="P51"/>
    </sheetView>
  </sheetViews>
  <sheetFormatPr defaultRowHeight="14.4" x14ac:dyDescent="0.3"/>
  <cols>
    <col min="1"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DC48C-FFE0-4A83-9396-A5D866C3BF1D}">
  <dimension ref="A3:C7"/>
  <sheetViews>
    <sheetView topLeftCell="A13" workbookViewId="0">
      <selection activeCell="H27" sqref="H27"/>
    </sheetView>
  </sheetViews>
  <sheetFormatPr defaultRowHeight="14.4" x14ac:dyDescent="0.3"/>
  <cols>
    <col min="1" max="1" width="24" bestFit="1" customWidth="1"/>
  </cols>
  <sheetData>
    <row r="3" spans="1:3" x14ac:dyDescent="0.3">
      <c r="A3" t="s">
        <v>1564</v>
      </c>
    </row>
    <row r="4" spans="1:3" x14ac:dyDescent="0.3">
      <c r="A4" s="6">
        <v>2.6265306122448981</v>
      </c>
    </row>
    <row r="6" spans="1:3" x14ac:dyDescent="0.3">
      <c r="A6" t="s">
        <v>1565</v>
      </c>
      <c r="B6" s="6">
        <f>GETPIVOTDATA("Job Satisfaction",$A$3)</f>
        <v>2.6265306122448981</v>
      </c>
      <c r="C6" s="5">
        <f>B6/4</f>
        <v>0.65663265306122454</v>
      </c>
    </row>
    <row r="7" spans="1:3" x14ac:dyDescent="0.3">
      <c r="A7" t="s">
        <v>1566</v>
      </c>
      <c r="B7" s="6">
        <f>4-B6</f>
        <v>1.3734693877551019</v>
      </c>
      <c r="C7" s="5">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54723-6754-4DC6-8D78-9B2CBE8D13B0}">
  <dimension ref="A3:C10"/>
  <sheetViews>
    <sheetView workbookViewId="0">
      <selection activeCell="B9" sqref="B9"/>
    </sheetView>
  </sheetViews>
  <sheetFormatPr defaultRowHeight="14.4" x14ac:dyDescent="0.3"/>
  <cols>
    <col min="1" max="1" width="12.5546875" bestFit="1" customWidth="1"/>
    <col min="2" max="2" width="23" bestFit="1" customWidth="1"/>
  </cols>
  <sheetData>
    <row r="3" spans="1:3" x14ac:dyDescent="0.3">
      <c r="A3" s="1" t="s">
        <v>1554</v>
      </c>
      <c r="B3" t="s">
        <v>1567</v>
      </c>
    </row>
    <row r="4" spans="1:3" x14ac:dyDescent="0.3">
      <c r="A4" s="2" t="s">
        <v>51</v>
      </c>
      <c r="B4" s="3">
        <v>588</v>
      </c>
    </row>
    <row r="5" spans="1:3" x14ac:dyDescent="0.3">
      <c r="A5" s="2" t="s">
        <v>1555</v>
      </c>
      <c r="B5" s="3">
        <v>588</v>
      </c>
    </row>
    <row r="9" spans="1:3" x14ac:dyDescent="0.3">
      <c r="A9" s="2" t="s">
        <v>51</v>
      </c>
      <c r="B9">
        <f>IFERROR(GETPIVOTDATA("Employee Count",$A$3,"Gender","Female"),0)</f>
        <v>588</v>
      </c>
      <c r="C9" s="9">
        <f>IFERROR(B9/($B$9+$B$10),0)</f>
        <v>1</v>
      </c>
    </row>
    <row r="10" spans="1:3" x14ac:dyDescent="0.3">
      <c r="A10" s="2" t="s">
        <v>62</v>
      </c>
      <c r="B10">
        <f>IFERROR(GETPIVOTDATA("Employee Count",$A$3,"Gender","Male"),0)</f>
        <v>0</v>
      </c>
      <c r="C10" s="9">
        <f>IFERROR(B10/($B$9+$B$10),0)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924B-ED99-48C0-9AC3-538D52386250}">
  <dimension ref="A3:B9"/>
  <sheetViews>
    <sheetView workbookViewId="0">
      <selection activeCell="B5" sqref="B5"/>
    </sheetView>
  </sheetViews>
  <sheetFormatPr defaultRowHeight="14.4" x14ac:dyDescent="0.3"/>
  <cols>
    <col min="1" max="1" width="15.88671875" bestFit="1" customWidth="1"/>
    <col min="2" max="2" width="22.88671875" bestFit="1" customWidth="1"/>
  </cols>
  <sheetData>
    <row r="3" spans="1:2" x14ac:dyDescent="0.3">
      <c r="A3" s="1" t="s">
        <v>1554</v>
      </c>
      <c r="B3" t="s">
        <v>1557</v>
      </c>
    </row>
    <row r="4" spans="1:2" x14ac:dyDescent="0.3">
      <c r="A4" s="2" t="s">
        <v>134</v>
      </c>
      <c r="B4" s="3">
        <v>5</v>
      </c>
    </row>
    <row r="5" spans="1:2" x14ac:dyDescent="0.3">
      <c r="A5" s="2" t="s">
        <v>65</v>
      </c>
      <c r="B5" s="3">
        <v>31</v>
      </c>
    </row>
    <row r="6" spans="1:2" x14ac:dyDescent="0.3">
      <c r="A6" s="2" t="s">
        <v>55</v>
      </c>
      <c r="B6" s="3">
        <v>44</v>
      </c>
    </row>
    <row r="7" spans="1:2" x14ac:dyDescent="0.3">
      <c r="A7" s="2" t="s">
        <v>71</v>
      </c>
      <c r="B7" s="3">
        <v>58</v>
      </c>
    </row>
    <row r="8" spans="1:2" x14ac:dyDescent="0.3">
      <c r="A8" s="2" t="s">
        <v>77</v>
      </c>
      <c r="B8" s="3">
        <v>99</v>
      </c>
    </row>
    <row r="9" spans="1:2" x14ac:dyDescent="0.3">
      <c r="A9" s="2" t="s">
        <v>1555</v>
      </c>
      <c r="B9" s="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41E8-E07E-4A58-BAFB-91CB1C39E601}">
  <dimension ref="A3:F13"/>
  <sheetViews>
    <sheetView workbookViewId="0">
      <selection activeCell="L20" sqref="L20"/>
    </sheetView>
  </sheetViews>
  <sheetFormatPr defaultRowHeight="14.4" x14ac:dyDescent="0.3"/>
  <cols>
    <col min="1" max="2" width="22.88671875" bestFit="1" customWidth="1"/>
    <col min="5" max="5" width="22.88671875" bestFit="1" customWidth="1"/>
  </cols>
  <sheetData>
    <row r="3" spans="1:6" x14ac:dyDescent="0.3">
      <c r="A3" s="1" t="s">
        <v>1554</v>
      </c>
      <c r="B3" t="s">
        <v>1557</v>
      </c>
      <c r="E3" t="s">
        <v>1568</v>
      </c>
      <c r="F3" t="s">
        <v>0</v>
      </c>
    </row>
    <row r="4" spans="1:6" x14ac:dyDescent="0.3">
      <c r="A4" s="2" t="s">
        <v>83</v>
      </c>
      <c r="B4" s="3">
        <v>9</v>
      </c>
      <c r="E4" t="str">
        <f>A4</f>
        <v>Healthcare Representative</v>
      </c>
      <c r="F4">
        <f>GETPIVOTDATA("CF_attrition count",$A$3,"Job Role",A4)</f>
        <v>9</v>
      </c>
    </row>
    <row r="5" spans="1:6" x14ac:dyDescent="0.3">
      <c r="A5" s="2" t="s">
        <v>163</v>
      </c>
      <c r="B5" s="3">
        <v>12</v>
      </c>
      <c r="E5" t="str">
        <f t="shared" ref="E5:E12" si="0">A5</f>
        <v>Human Resources</v>
      </c>
      <c r="F5">
        <f t="shared" ref="F5:F12" si="1">GETPIVOTDATA("CF_attrition count",$A$3,"Job Role",A5)</f>
        <v>12</v>
      </c>
    </row>
    <row r="6" spans="1:6" x14ac:dyDescent="0.3">
      <c r="A6" s="2" t="s">
        <v>68</v>
      </c>
      <c r="B6" s="3">
        <v>62</v>
      </c>
      <c r="E6" t="str">
        <f t="shared" si="0"/>
        <v>Laboratory Technician</v>
      </c>
      <c r="F6">
        <f t="shared" si="1"/>
        <v>62</v>
      </c>
    </row>
    <row r="7" spans="1:6" x14ac:dyDescent="0.3">
      <c r="A7" s="2" t="s">
        <v>95</v>
      </c>
      <c r="B7" s="3">
        <v>5</v>
      </c>
      <c r="E7" t="str">
        <f t="shared" si="0"/>
        <v>Manager</v>
      </c>
      <c r="F7">
        <f t="shared" si="1"/>
        <v>5</v>
      </c>
    </row>
    <row r="8" spans="1:6" x14ac:dyDescent="0.3">
      <c r="A8" s="2" t="s">
        <v>81</v>
      </c>
      <c r="B8" s="3">
        <v>10</v>
      </c>
      <c r="E8" t="str">
        <f t="shared" si="0"/>
        <v>Manufacturing Director</v>
      </c>
      <c r="F8">
        <f t="shared" si="1"/>
        <v>10</v>
      </c>
    </row>
    <row r="9" spans="1:6" x14ac:dyDescent="0.3">
      <c r="A9" s="2" t="s">
        <v>101</v>
      </c>
      <c r="B9" s="3">
        <v>2</v>
      </c>
      <c r="E9" t="str">
        <f t="shared" si="0"/>
        <v>Research Director</v>
      </c>
      <c r="F9">
        <f t="shared" si="1"/>
        <v>2</v>
      </c>
    </row>
    <row r="10" spans="1:6" x14ac:dyDescent="0.3">
      <c r="A10" s="2" t="s">
        <v>63</v>
      </c>
      <c r="B10" s="3">
        <v>47</v>
      </c>
      <c r="E10" t="str">
        <f t="shared" si="0"/>
        <v>Research Scientist</v>
      </c>
      <c r="F10">
        <f t="shared" si="1"/>
        <v>47</v>
      </c>
    </row>
    <row r="11" spans="1:6" x14ac:dyDescent="0.3">
      <c r="A11" s="2" t="s">
        <v>52</v>
      </c>
      <c r="B11" s="3">
        <v>57</v>
      </c>
      <c r="E11" t="str">
        <f t="shared" si="0"/>
        <v>Sales Executive</v>
      </c>
      <c r="F11">
        <f t="shared" si="1"/>
        <v>57</v>
      </c>
    </row>
    <row r="12" spans="1:6" x14ac:dyDescent="0.3">
      <c r="A12" s="2" t="s">
        <v>99</v>
      </c>
      <c r="B12" s="3">
        <v>33</v>
      </c>
      <c r="E12" t="str">
        <f t="shared" si="0"/>
        <v>Sales Representative</v>
      </c>
      <c r="F12">
        <f t="shared" si="1"/>
        <v>33</v>
      </c>
    </row>
    <row r="13" spans="1:6" x14ac:dyDescent="0.3">
      <c r="A13" s="2" t="s">
        <v>1555</v>
      </c>
      <c r="B13" s="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C643-D0CC-4E6F-B041-C2AB1C90AFBF}">
  <dimension ref="A3:B7"/>
  <sheetViews>
    <sheetView workbookViewId="0">
      <selection activeCell="I17" sqref="H15:I17"/>
    </sheetView>
  </sheetViews>
  <sheetFormatPr defaultRowHeight="14.4" x14ac:dyDescent="0.3"/>
  <cols>
    <col min="1" max="1" width="12.5546875" bestFit="1" customWidth="1"/>
    <col min="2" max="2" width="22.88671875" bestFit="1" customWidth="1"/>
  </cols>
  <sheetData>
    <row r="3" spans="1:2" x14ac:dyDescent="0.3">
      <c r="A3" s="1" t="s">
        <v>1554</v>
      </c>
      <c r="B3" t="s">
        <v>1557</v>
      </c>
    </row>
    <row r="4" spans="1:2" x14ac:dyDescent="0.3">
      <c r="A4" s="2" t="s">
        <v>161</v>
      </c>
      <c r="B4" s="10">
        <v>5.0632911392405063E-2</v>
      </c>
    </row>
    <row r="5" spans="1:2" x14ac:dyDescent="0.3">
      <c r="A5" s="2" t="s">
        <v>60</v>
      </c>
      <c r="B5" s="10">
        <v>0.56118143459915615</v>
      </c>
    </row>
    <row r="6" spans="1:2" x14ac:dyDescent="0.3">
      <c r="A6" s="2" t="s">
        <v>48</v>
      </c>
      <c r="B6" s="10">
        <v>0.3881856540084388</v>
      </c>
    </row>
    <row r="7" spans="1:2" x14ac:dyDescent="0.3">
      <c r="A7" s="2" t="s">
        <v>1555</v>
      </c>
      <c r="B7" s="10">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92DC-F787-4ECE-828F-B4B104FA21A1}">
  <dimension ref="A3:B9"/>
  <sheetViews>
    <sheetView workbookViewId="0">
      <selection activeCell="J21" sqref="J21"/>
    </sheetView>
  </sheetViews>
  <sheetFormatPr defaultRowHeight="14.4" x14ac:dyDescent="0.3"/>
  <cols>
    <col min="1" max="1" width="12.5546875" bestFit="1" customWidth="1"/>
    <col min="2" max="2" width="22.88671875" bestFit="1" customWidth="1"/>
  </cols>
  <sheetData>
    <row r="3" spans="1:2" x14ac:dyDescent="0.3">
      <c r="A3" s="1" t="s">
        <v>1554</v>
      </c>
      <c r="B3" t="s">
        <v>1557</v>
      </c>
    </row>
    <row r="4" spans="1:2" x14ac:dyDescent="0.3">
      <c r="A4" s="2" t="s">
        <v>69</v>
      </c>
      <c r="B4" s="3">
        <v>112</v>
      </c>
    </row>
    <row r="5" spans="1:2" x14ac:dyDescent="0.3">
      <c r="A5" s="2" t="s">
        <v>46</v>
      </c>
      <c r="B5" s="3">
        <v>51</v>
      </c>
    </row>
    <row r="6" spans="1:2" x14ac:dyDescent="0.3">
      <c r="A6" s="2" t="s">
        <v>92</v>
      </c>
      <c r="B6" s="3">
        <v>38</v>
      </c>
    </row>
    <row r="7" spans="1:2" x14ac:dyDescent="0.3">
      <c r="A7" s="2" t="s">
        <v>58</v>
      </c>
      <c r="B7" s="3">
        <v>25</v>
      </c>
    </row>
    <row r="8" spans="1:2" x14ac:dyDescent="0.3">
      <c r="A8" s="2" t="s">
        <v>75</v>
      </c>
      <c r="B8" s="3">
        <v>11</v>
      </c>
    </row>
    <row r="9" spans="1:2" x14ac:dyDescent="0.3">
      <c r="A9" s="2" t="s">
        <v>1555</v>
      </c>
      <c r="B9" s="3">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5D09D-3AD0-4398-A2F5-9C3953BD156D}">
  <dimension ref="A3:E7"/>
  <sheetViews>
    <sheetView workbookViewId="0">
      <selection activeCell="I18" sqref="I18"/>
    </sheetView>
  </sheetViews>
  <sheetFormatPr defaultRowHeight="14.4" x14ac:dyDescent="0.3"/>
  <cols>
    <col min="1" max="1" width="12.5546875" bestFit="1" customWidth="1"/>
    <col min="2" max="2" width="15.88671875" bestFit="1" customWidth="1"/>
    <col min="4" max="4" width="12.33203125" bestFit="1" customWidth="1"/>
  </cols>
  <sheetData>
    <row r="3" spans="1:5" x14ac:dyDescent="0.3">
      <c r="A3" s="1" t="s">
        <v>1554</v>
      </c>
      <c r="B3" t="s">
        <v>1569</v>
      </c>
      <c r="D3" t="s">
        <v>10</v>
      </c>
      <c r="E3" t="s">
        <v>0</v>
      </c>
    </row>
    <row r="4" spans="1:5" x14ac:dyDescent="0.3">
      <c r="A4" s="2" t="s">
        <v>79</v>
      </c>
      <c r="B4" s="3">
        <v>327</v>
      </c>
      <c r="D4" t="str">
        <f>A4</f>
        <v>Divorced</v>
      </c>
      <c r="E4">
        <f>GETPIVOTDATA("Attrition",$A$3,"Marital Status","Divorced")</f>
        <v>327</v>
      </c>
    </row>
    <row r="5" spans="1:5" x14ac:dyDescent="0.3">
      <c r="A5" s="2" t="s">
        <v>64</v>
      </c>
      <c r="B5" s="3">
        <v>673</v>
      </c>
      <c r="D5" t="str">
        <f t="shared" ref="D5:D6" si="0">A5</f>
        <v>Married</v>
      </c>
      <c r="E5">
        <f>GETPIVOTDATA("Attrition",$A$3,"Marital Status",A5)</f>
        <v>673</v>
      </c>
    </row>
    <row r="6" spans="1:5" x14ac:dyDescent="0.3">
      <c r="A6" s="2" t="s">
        <v>53</v>
      </c>
      <c r="B6" s="3">
        <v>470</v>
      </c>
      <c r="D6" t="str">
        <f t="shared" si="0"/>
        <v>Single</v>
      </c>
      <c r="E6">
        <f>GETPIVOTDATA("Attrition",$A$3,"Marital Status",A6)</f>
        <v>470</v>
      </c>
    </row>
    <row r="7" spans="1:5" x14ac:dyDescent="0.3">
      <c r="A7" s="2" t="s">
        <v>1555</v>
      </c>
      <c r="B7" s="3">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13" workbookViewId="0">
      <selection activeCell="H15" sqref="H15"/>
    </sheetView>
  </sheetViews>
  <sheetFormatPr defaultRowHeight="14.4" x14ac:dyDescent="0.3"/>
  <cols>
    <col min="2" max="2" width="11.44140625" customWidth="1"/>
    <col min="3" max="3" width="10" customWidth="1"/>
    <col min="4" max="4" width="9.5546875" customWidth="1"/>
    <col min="5" max="5" width="10.21875" customWidth="1"/>
    <col min="8" max="8" width="10.8867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Dashboard</vt:lpstr>
      <vt:lpstr>Rating</vt:lpstr>
      <vt:lpstr>Gender</vt:lpstr>
      <vt:lpstr>Education by iterretion</vt:lpstr>
      <vt:lpstr>Attrition by job</vt:lpstr>
      <vt:lpstr>Dept wise Atirition</vt:lpstr>
      <vt:lpstr>Attrirtion by Age Group</vt:lpstr>
      <vt:lpstr>Maritial Status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ali mohamed</dc:creator>
  <cp:lastModifiedBy>mahmoud ali mohamed</cp:lastModifiedBy>
  <dcterms:created xsi:type="dcterms:W3CDTF">2015-06-05T18:17:20Z</dcterms:created>
  <dcterms:modified xsi:type="dcterms:W3CDTF">2023-09-10T14:27:13Z</dcterms:modified>
</cp:coreProperties>
</file>